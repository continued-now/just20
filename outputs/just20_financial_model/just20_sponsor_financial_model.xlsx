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165331522f47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" sheetId="1" r:id="Rf680034c1f42423a"/>
    <x:sheet xmlns:r="http://schemas.openxmlformats.org/officeDocument/2006/relationships" name="Assumptions" sheetId="2" r:id="R94906e432ed543f4"/>
    <x:sheet xmlns:r="http://schemas.openxmlformats.org/officeDocument/2006/relationships" name="Regions" sheetId="3" r:id="R20a1e9f073dc46b5"/>
    <x:sheet xmlns:r="http://schemas.openxmlformats.org/officeDocument/2006/relationships" name="Revenue_Model" sheetId="4" r:id="Rc82462b611d2415f"/>
    <x:sheet xmlns:r="http://schemas.openxmlformats.org/officeDocument/2006/relationships" name="Cost_Model" sheetId="5" r:id="R22d3dfd71e1f4204"/>
    <x:sheet xmlns:r="http://schemas.openxmlformats.org/officeDocument/2006/relationships" name="KPI_Tracker" sheetId="6" r:id="R3bfceec202e3481a"/>
    <x:sheet xmlns:r="http://schemas.openxmlformats.org/officeDocument/2006/relationships" name="90_Day_Plan" sheetId="7" r:id="Rb2b3b8ad7a614e57"/>
    <x:sheet xmlns:r="http://schemas.openxmlformats.org/officeDocument/2006/relationships" name="Sources" sheetId="8" r:id="Ra7f2748e27744868"/>
    <x:sheet xmlns:r="http://schemas.openxmlformats.org/officeDocument/2006/relationships" name="Checks" sheetId="9" r:id="R752afe0a1db440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#,##0"/>
    <x:numFmt numFmtId="201" formatCode="0.0%"/>
    <x:numFmt numFmtId="202" formatCode="0"/>
    <x:numFmt numFmtId="203" formatCode="$0.00"/>
    <x:numFmt numFmtId="204" formatCode="$#,##0"/>
    <x:numFmt numFmtId="205" formatCode="$0.000"/>
    <x:numFmt numFmtId="206" formatCode="$#,##0;[Red]($#,##0);-"/>
    <x:numFmt numFmtId="207" formatCode="0.0%;[Red](0.0%);-"/>
    <x:numFmt numFmtId="208" formatCode="0.00x"/>
    <x:numFmt numFmtId="209" formatCode="#,##0.00"/>
  </x:numFmts>
  <x:fonts count="31">
    <x:font>
      <x:sz val="11"/>
      <x:name val="Carlito"/>
    </x:font>
    <x:font>
      <x:b/>
      <x:sz val="18"/>
      <x:color rgb="FFFFFF"/>
      <x:name val="Carlito"/>
    </x:font>
    <x:font>
      <x:i/>
      <x:sz val="10"/>
      <x:color rgb="374151"/>
      <x:name val="Carlito"/>
    </x:font>
    <x:font>
      <x:b/>
      <x:sz val="11"/>
      <x:color rgb="FFFFFF"/>
      <x:name val="Carlito"/>
    </x:font>
    <x:font>
      <x:b/>
      <x:sz val="11"/>
      <x:color rgb="111827"/>
      <x:name val="Carlito"/>
    </x:font>
    <x:font>
      <x:sz val="10"/>
      <x:color rgb="111827"/>
      <x:name val="Carlito"/>
    </x:font>
    <x:font>
      <x:sz val="10"/>
      <x:color rgb="2563EB"/>
      <x:name val="Carlito"/>
    </x:font>
    <x:font>
      <x:b/>
      <x:sz val="10"/>
      <x:color rgb="111827"/>
      <x:name val="Carlito"/>
    </x:font>
    <x:font>
      <x:b/>
      <x:sz val="11"/>
      <x:name val="Carlito"/>
    </x:font>
    <x:font>
      <x:b/>
      <x:sz val="10"/>
      <x:color rgb="111827"/>
      <x:name val="Aptos"/>
    </x:font>
    <x:font>
      <x:i/>
      <x:sz val="10"/>
      <x:color rgb="111827"/>
      <x:name val="Aptos"/>
    </x:font>
    <x:font>
      <x:sz val="10"/>
      <x:color rgb="111827"/>
      <x:name val="Aptos"/>
    </x:font>
    <x:font>
      <x:sz val="10"/>
      <x:color rgb="111827"/>
      <x:name val="Aptos"/>
    </x:font>
    <x:font>
      <x:b/>
      <x:sz val="18"/>
      <x:color rgb="FFFFFF"/>
      <x:name val="Aptos"/>
    </x:font>
    <x:font>
      <x:b/>
      <x:sz val="10"/>
      <x:color rgb="FFFFFF"/>
      <x:name val="Aptos"/>
    </x:font>
    <x:font>
      <x:b/>
      <x:sz val="10"/>
      <x:color rgb="0000FF"/>
      <x:name val="Aptos"/>
    </x:font>
    <x:font>
      <x:b/>
      <x:sz val="10"/>
      <x:color rgb="000000"/>
      <x:name val="Aptos"/>
    </x:font>
    <x:font>
      <x:b/>
      <x:sz val="10"/>
      <x:color rgb="008000"/>
      <x:name val="Aptos"/>
    </x:font>
    <x:font>
      <x:b/>
      <x:sz val="10"/>
      <x:color rgb="FF0000"/>
      <x:name val="Aptos"/>
    </x:font>
    <x:font>
      <x:sz val="11"/>
      <x:color rgb="000000"/>
      <x:name val="Carlito"/>
    </x:font>
    <x:font>
      <x:sz val="10"/>
      <x:color rgb="0000FF"/>
      <x:name val="Aptos"/>
    </x:font>
    <x:font>
      <x:sz val="10"/>
      <x:color rgb="000000"/>
      <x:name val="Aptos"/>
    </x:font>
    <x:font>
      <x:sz val="10"/>
      <x:color rgb="008000"/>
      <x:name val="Aptos"/>
    </x:font>
    <x:font>
      <x:sz val="10"/>
      <x:color rgb="FF0000"/>
      <x:name val="Aptos"/>
    </x:font>
    <x:font>
      <x:b/>
      <x:i/>
      <x:sz val="10"/>
      <x:color rgb="FFFFFF"/>
      <x:name val="Aptos"/>
    </x:font>
    <x:font>
      <x:b/>
      <x:i/>
      <x:sz val="10"/>
      <x:color rgb="374151"/>
      <x:name val="Aptos"/>
    </x:font>
    <x:font>
      <x:b/>
      <x:i/>
      <x:sz val="10"/>
      <x:color rgb="374151"/>
      <x:name val="Carlito"/>
    </x:font>
    <x:font>
      <x:b/>
      <x:sz val="16"/>
      <x:color rgb="FFFFFF"/>
      <x:name val="Aptos"/>
    </x:font>
    <x:font>
      <x:b/>
      <x:sz val="16"/>
      <x:color rgb="FFFFFF"/>
      <x:name val="Carlito"/>
    </x:font>
    <x:font>
      <x:i/>
      <x:sz val="10"/>
      <x:color rgb="374151"/>
      <x:name val="Aptos"/>
    </x:font>
    <x:font>
      <x:b/>
      <x:sz val="11"/>
      <x:color rgb="FFFFFF"/>
      <x:name val="Aptos"/>
    </x:font>
  </x:fonts>
  <x:fills count="55">
    <x:fill>
      <x:patternFill patternType="none"/>
    </x:fill>
    <x:fill>
      <x:patternFill patternType="gray125"/>
    </x:fill>
    <x:fill>
      <x:patternFill patternType="solid">
        <x:fgColor rgb="1F2A44"/>
      </x:patternFill>
    </x:fill>
    <x:fill>
      <x:patternFill patternType="solid">
        <x:fgColor rgb="EEF2FF"/>
      </x:patternFill>
    </x:fill>
    <x:fill>
      <x:patternFill patternType="solid">
        <x:fgColor rgb="374151"/>
      </x:patternFill>
    </x:fill>
    <x:fill>
      <x:patternFill patternType="solid">
        <x:fgColor rgb="DBEAFE"/>
      </x:patternFill>
    </x:fill>
    <x:fill>
      <x:patternFill patternType="solid">
        <x:fgColor rgb="FFFFFF"/>
      </x:patternFill>
    </x:fill>
    <x:fill>
      <x:patternFill patternType="solid">
        <x:fgColor rgb="FDE68A"/>
      </x:patternFill>
    </x:fill>
    <x:fill>
      <x:patternFill patternType="solid">
        <x:fgColor rgb="DCFCE7"/>
      </x:patternFill>
    </x:fill>
    <x:fill>
      <x:patternFill patternType="solid">
        <x:fgColor rgb="1F1F1F"/>
      </x:patternFill>
    </x:fill>
    <x:fill>
      <x:patternFill patternType="solid">
        <x:fgColor rgb="FFFF00"/>
      </x:patternFill>
    </x:fill>
    <x:fill>
      <x:patternFill patternType="solid">
        <x:fgColor rgb="FFF2CC"/>
      </x:patternFill>
    </x:fill>
    <x:fill>
      <x:patternFill patternType="solid">
        <x:fgColor rgb="D9EAF7"/>
      </x:patternFill>
    </x:fill>
    <x:fill>
      <x:patternFill patternType="solid">
        <x:fgColor rgb="E2F0D9"/>
      </x:patternFill>
    </x:fill>
    <x:fill>
      <x:patternFill patternType="solid">
        <x:fgColor rgb="F4CCCC"/>
      </x:patternFill>
    </x:fill>
    <x:fill>
      <x:patternFill patternType="solid">
        <x:fgColor rgb="1F1F1F"/>
      </x:patternFill>
    </x:fill>
    <x:fill>
      <x:patternFill patternType="solid">
        <x:fgColor rgb="FFFF00"/>
      </x:patternFill>
    </x:fill>
    <x:fill>
      <x:patternFill patternType="solid">
        <x:fgColor rgb="FFF2CC"/>
      </x:patternFill>
    </x:fill>
    <x:fill>
      <x:patternFill patternType="solid">
        <x:fgColor rgb="D9EAF7"/>
      </x:patternFill>
    </x:fill>
    <x:fill>
      <x:patternFill patternType="solid">
        <x:fgColor rgb="E2F0D9"/>
      </x:patternFill>
    </x:fill>
    <x:fill>
      <x:patternFill patternType="solid">
        <x:fgColor rgb="F4CCCC"/>
      </x:patternFill>
    </x:fill>
    <x:fill>
      <x:patternFill patternType="solid">
        <x:fgColor rgb="1F1F1F"/>
      </x:patternFill>
    </x:fill>
    <x:fill>
      <x:patternFill patternType="solid">
        <x:fgColor rgb="FFFF00"/>
      </x:patternFill>
    </x:fill>
    <x:fill>
      <x:patternFill patternType="solid">
        <x:fgColor rgb="FFF2CC"/>
      </x:patternFill>
    </x:fill>
    <x:fill>
      <x:patternFill patternType="solid">
        <x:fgColor rgb="1F2A44"/>
      </x:patternFill>
    </x:fill>
    <x:fill>
      <x:patternFill patternType="solid">
        <x:fgColor rgb="EEF2FF"/>
      </x:patternFill>
    </x:fill>
    <x:fill>
      <x:patternFill patternType="solid">
        <x:fgColor rgb="D9EAF7"/>
      </x:patternFill>
    </x:fill>
    <x:fill>
      <x:patternFill patternType="solid">
        <x:fgColor rgb="E2F0D9"/>
      </x:patternFill>
    </x:fill>
    <x:fill>
      <x:patternFill patternType="solid">
        <x:fgColor rgb="F4CCCC"/>
      </x:patternFill>
    </x:fill>
    <x:fill>
      <x:patternFill patternType="solid">
        <x:fgColor rgb="1F1F1F"/>
      </x:patternFill>
    </x:fill>
    <x:fill>
      <x:patternFill patternType="solid">
        <x:fgColor rgb="FFFF00"/>
      </x:patternFill>
    </x:fill>
    <x:fill>
      <x:patternFill patternType="solid">
        <x:fgColor rgb="FFF2CC"/>
      </x:patternFill>
    </x:fill>
    <x:fill>
      <x:patternFill patternType="solid">
        <x:fgColor rgb="1F2A44"/>
      </x:patternFill>
    </x:fill>
    <x:fill>
      <x:patternFill patternType="solid">
        <x:fgColor rgb="EEF2FF"/>
      </x:patternFill>
    </x:fill>
    <x:fill>
      <x:patternFill patternType="solid">
        <x:fgColor rgb="D9EAF7"/>
      </x:patternFill>
    </x:fill>
    <x:fill>
      <x:patternFill patternType="solid">
        <x:fgColor rgb="E2F0D9"/>
      </x:patternFill>
    </x:fill>
    <x:fill>
      <x:patternFill patternType="solid">
        <x:fgColor rgb="F4CCCC"/>
      </x:patternFill>
    </x:fill>
    <x:fill>
      <x:patternFill patternType="solid">
        <x:fgColor rgb="1F1F1F"/>
      </x:patternFill>
    </x:fill>
    <x:fill>
      <x:patternFill patternType="solid">
        <x:fgColor rgb="FFFF00"/>
      </x:patternFill>
    </x:fill>
    <x:fill>
      <x:patternFill patternType="solid">
        <x:fgColor rgb="FFF2CC"/>
      </x:patternFill>
    </x:fill>
    <x:fill>
      <x:patternFill patternType="solid">
        <x:fgColor rgb="1F2A44"/>
      </x:patternFill>
    </x:fill>
    <x:fill>
      <x:patternFill patternType="solid">
        <x:fgColor rgb="EEF2FF"/>
      </x:patternFill>
    </x:fill>
    <x:fill>
      <x:patternFill patternType="solid">
        <x:fgColor rgb="374151"/>
      </x:patternFill>
    </x:fill>
    <x:fill>
      <x:patternFill patternType="solid">
        <x:fgColor rgb="D9EAF7"/>
      </x:patternFill>
    </x:fill>
    <x:fill>
      <x:patternFill patternType="solid">
        <x:fgColor rgb="E2F0D9"/>
      </x:patternFill>
    </x:fill>
    <x:fill>
      <x:patternFill patternType="solid">
        <x:fgColor rgb="F4CCCC"/>
      </x:patternFill>
    </x:fill>
    <x:fill>
      <x:patternFill patternType="solid">
        <x:fgColor rgb="1F1F1F"/>
      </x:patternFill>
    </x:fill>
    <x:fill>
      <x:patternFill patternType="solid">
        <x:fgColor rgb="FFFF00"/>
      </x:patternFill>
    </x:fill>
    <x:fill>
      <x:patternFill patternType="solid">
        <x:fgColor rgb="FFF2CC"/>
      </x:patternFill>
    </x:fill>
    <x:fill>
      <x:patternFill patternType="solid">
        <x:fgColor rgb="1F2A44"/>
      </x:patternFill>
    </x:fill>
    <x:fill>
      <x:patternFill patternType="solid">
        <x:fgColor rgb="EEF2FF"/>
      </x:patternFill>
    </x:fill>
    <x:fill>
      <x:patternFill patternType="solid">
        <x:fgColor rgb="374151"/>
      </x:patternFill>
    </x:fill>
    <x:fill>
      <x:patternFill patternType="solid">
        <x:fgColor rgb="D9EAF7"/>
      </x:patternFill>
    </x:fill>
    <x:fill>
      <x:patternFill patternType="solid">
        <x:fgColor rgb="E2F0D9"/>
      </x:patternFill>
    </x:fill>
    <x:fill>
      <x:patternFill patternType="solid">
        <x:fgColor rgb="F4CCCC"/>
      </x:patternFill>
    </x:fill>
  </x:fills>
  <x:borders count="65">
    <x:border/>
    <x:border>
      <x:left style="thin">
        <x:color rgb="D1D5DB"/>
      </x:left>
      <x:top style="thin">
        <x:color rgb="D1D5DB"/>
      </x:top>
      <x:bottom style="thin">
        <x:color rgb="D1D5DB"/>
      </x:bottom>
    </x:border>
    <x:border>
      <x:top style="thin">
        <x:color rgb="D1D5DB"/>
      </x:top>
      <x:bottom style="thin">
        <x:color rgb="D1D5DB"/>
      </x:bottom>
    </x:border>
    <x:border>
      <x:right style="thin">
        <x:color rgb="D1D5DB"/>
      </x:right>
      <x:top style="thin">
        <x:color rgb="D1D5DB"/>
      </x:top>
      <x:bottom style="thin">
        <x:color rgb="D1D5DB"/>
      </x:bottom>
    </x:border>
    <x:border>
      <x:left style="thin">
        <x:color rgb="E5E7EB"/>
      </x:left>
      <x:top style="thin">
        <x:color rgb="E5E7EB"/>
      </x:top>
    </x:border>
    <x:border>
      <x:top style="thin">
        <x:color rgb="E5E7EB"/>
      </x:top>
    </x:border>
    <x:border>
      <x:right style="thin">
        <x:color rgb="E5E7EB"/>
      </x:right>
      <x:top style="thin">
        <x:color rgb="E5E7EB"/>
      </x:top>
    </x:border>
    <x:border>
      <x:left style="thin">
        <x:color rgb="E5E7EB"/>
      </x:left>
    </x:border>
    <x:border>
      <x:right style="thin">
        <x:color rgb="E5E7EB"/>
      </x:right>
    </x:border>
    <x:border>
      <x:left style="thin">
        <x:color rgb="E5E7EB"/>
      </x:left>
      <x:bottom style="thin">
        <x:color rgb="E5E7EB"/>
      </x:bottom>
    </x:border>
    <x:border>
      <x:bottom style="thin">
        <x:color rgb="E5E7EB"/>
      </x:bottom>
    </x:border>
    <x:border>
      <x:right style="thin">
        <x:color rgb="E5E7EB"/>
      </x:right>
      <x:bottom style="thin">
        <x:color rgb="E5E7EB"/>
      </x:bottom>
    </x:border>
    <x:border>
      <x:left style="thin">
        <x:color rgb="D1D5DB"/>
      </x:left>
      <x:top style="thin">
        <x:color rgb="D1D5DB"/>
      </x:top>
    </x:border>
    <x:border>
      <x:top style="thin">
        <x:color rgb="D1D5DB"/>
      </x:top>
    </x:border>
    <x:border>
      <x:right style="thin">
        <x:color rgb="D1D5DB"/>
      </x:right>
      <x:top style="thin">
        <x:color rgb="D1D5DB"/>
      </x:top>
    </x:border>
    <x:border>
      <x:left style="thin">
        <x:color rgb="D1D5DB"/>
      </x:left>
    </x:border>
    <x:border>
      <x:right style="thin">
        <x:color rgb="D1D5DB"/>
      </x:right>
    </x:border>
    <x:border>
      <x:left style="thin">
        <x:color rgb="D1D5DB"/>
      </x:left>
      <x:bottom style="thin">
        <x:color rgb="D1D5DB"/>
      </x:bottom>
    </x:border>
    <x:border>
      <x:bottom style="thin">
        <x:color rgb="D1D5DB"/>
      </x:bottom>
    </x:border>
    <x:border>
      <x:right style="thin">
        <x:color rgb="D1D5DB"/>
      </x:right>
      <x:bottom style="thin">
        <x:color rgb="D1D5DB"/>
      </x:bottom>
    </x:border>
    <x:border>
      <x:left style="thin">
        <x:color rgb="D1D5DB"/>
      </x:left>
      <x:right style="thin">
        <x:color rgb="D1D5DB"/>
      </x:right>
      <x:top style="thin">
        <x:color rgb="D1D5DB"/>
      </x:top>
    </x:border>
    <x:border>
      <x:left style="thin">
        <x:color rgb="D1D5DB"/>
      </x:left>
      <x:right style="thin">
        <x:color rgb="D1D5DB"/>
      </x:right>
    </x:border>
    <x:border>
      <x:left style="thin">
        <x:color rgb="D1D5DB"/>
      </x:left>
      <x:right style="thin">
        <x:color rgb="D1D5DB"/>
      </x:right>
      <x:bottom style="thin">
        <x:color rgb="D1D5DB"/>
      </x:bottom>
    </x:border>
    <x:border>
      <x:left style="thin">
        <x:color rgb="D9D9D9"/>
      </x:left>
      <x:top style="thin">
        <x:color rgb="D9D9D9"/>
      </x:top>
    </x:border>
    <x:border>
      <x:top style="thin">
        <x:color rgb="D9D9D9"/>
      </x:top>
    </x:border>
    <x:border>
      <x:right style="thin">
        <x:color rgb="D9D9D9"/>
      </x:right>
      <x:top style="thin">
        <x:color rgb="D9D9D9"/>
      </x:top>
    </x:border>
    <x:border>
      <x:left style="thin">
        <x:color rgb="D9D9D9"/>
      </x:left>
    </x:border>
    <x:border>
      <x:right style="thin">
        <x:color rgb="D9D9D9"/>
      </x:right>
    </x:border>
    <x:border>
      <x:left style="thin">
        <x:color rgb="D9D9D9"/>
      </x:left>
      <x:bottom style="thin">
        <x:color rgb="D9D9D9"/>
      </x:bottom>
    </x:border>
    <x:border>
      <x:bottom style="thin">
        <x:color rgb="D9D9D9"/>
      </x:bottom>
    </x:border>
    <x:border>
      <x:right style="thin">
        <x:color rgb="D9D9D9"/>
      </x:right>
      <x:bottom style="thin">
        <x:color rgb="D9D9D9"/>
      </x:bottom>
    </x:border>
    <x:border>
      <x:left style="thin">
        <x:color rgb="D9E2F3"/>
      </x:left>
      <x:right style="thin">
        <x:color rgb="D9E2F3"/>
      </x:right>
      <x:top style="thin">
        <x:color rgb="D9E2F3"/>
      </x:top>
    </x:border>
    <x:border>
      <x:left style="thin">
        <x:color rgb="D9E2F3"/>
      </x:left>
      <x:right style="thin">
        <x:color rgb="D9E2F3"/>
      </x:right>
    </x:border>
    <x:border>
      <x:left style="thin">
        <x:color rgb="D9E2F3"/>
      </x:left>
      <x:right style="thin">
        <x:color rgb="D9E2F3"/>
      </x:right>
      <x:bottom style="thin">
        <x:color rgb="D9E2F3"/>
      </x:bottom>
    </x:border>
    <x:border>
      <x:left style="thin">
        <x:color rgb="D9E2F3"/>
      </x:left>
      <x:top style="thin">
        <x:color rgb="D9E2F3"/>
      </x:top>
    </x:border>
    <x:border>
      <x:left style="thin">
        <x:color rgb="D1D5DB"/>
      </x:left>
      <x:right style="thin">
        <x:color rgb="D1D5DB"/>
      </x:right>
      <x:top style="thin">
        <x:color rgb="D9E2F3"/>
      </x:top>
    </x:border>
    <x:border>
      <x:top style="thin">
        <x:color rgb="D9E2F3"/>
      </x:top>
    </x:border>
    <x:border>
      <x:right style="thin">
        <x:color rgb="D9E2F3"/>
      </x:right>
      <x:top style="thin">
        <x:color rgb="D9E2F3"/>
      </x:top>
    </x:border>
    <x:border>
      <x:left style="thin">
        <x:color rgb="D9E2F3"/>
      </x:left>
    </x:border>
    <x:border>
      <x:right style="thin">
        <x:color rgb="D9E2F3"/>
      </x:right>
    </x:border>
    <x:border>
      <x:left style="thin">
        <x:color rgb="D9E2F3"/>
      </x:left>
      <x:bottom style="thin">
        <x:color rgb="D9E2F3"/>
      </x:bottom>
    </x:border>
    <x:border>
      <x:left style="thin">
        <x:color rgb="D1D5DB"/>
      </x:left>
      <x:right style="thin">
        <x:color rgb="D1D5DB"/>
      </x:right>
      <x:bottom style="thin">
        <x:color rgb="D9E2F3"/>
      </x:bottom>
    </x:border>
    <x:border>
      <x:bottom style="thin">
        <x:color rgb="D9E2F3"/>
      </x:bottom>
    </x:border>
    <x:border>
      <x:right style="thin">
        <x:color rgb="D9E2F3"/>
      </x:right>
      <x:bottom style="thin">
        <x:color rgb="D9E2F3"/>
      </x:bottom>
    </x:border>
    <x:border>
      <x:left style="thin">
        <x:color rgb="D9E2F3"/>
      </x:left>
      <x:top style="thin">
        <x:color rgb="D1D5DB"/>
      </x:top>
      <x:bottom style="thin">
        <x:color rgb="D1D5DB"/>
      </x:bottom>
    </x:border>
    <x:border>
      <x:right style="thin">
        <x:color rgb="D9E2F3"/>
      </x:right>
      <x:top style="thin">
        <x:color rgb="D1D5DB"/>
      </x:top>
      <x:bottom style="thin">
        <x:color rgb="D1D5DB"/>
      </x:bottom>
    </x:border>
    <x:border>
      <x:left style="thin">
        <x:color rgb="D9E2F3"/>
      </x:left>
      <x:top style="thin">
        <x:color rgb="D1D5DB"/>
      </x:top>
    </x:border>
    <x:border>
      <x:right style="thin">
        <x:color rgb="D9E2F3"/>
      </x:right>
      <x:top style="thin">
        <x:color rgb="D1D5DB"/>
      </x:top>
    </x:border>
    <x:border>
      <x:left style="thin">
        <x:color rgb="D9E2F3"/>
      </x:left>
      <x:bottom style="thin">
        <x:color rgb="D1D5DB"/>
      </x:bottom>
    </x:border>
    <x:border>
      <x:right style="thin">
        <x:color rgb="D9E2F3"/>
      </x:right>
      <x:bottom style="thin">
        <x:color rgb="D1D5DB"/>
      </x:bottom>
    </x:border>
    <x:border>
      <x:right style="thin">
        <x:color rgb="D1D5DB"/>
      </x:right>
      <x:top style="thin">
        <x:color rgb="D9E2F3"/>
      </x:top>
    </x:border>
    <x:border>
      <x:right style="thin">
        <x:color rgb="D1D5DB"/>
      </x:right>
      <x:bottom style="thin">
        <x:color rgb="D9E2F3"/>
      </x:bottom>
    </x:border>
    <x:border>
      <x:left style="thin">
        <x:color rgb="D9E2F3"/>
      </x:left>
      <x:bottom style="thin">
        <x:color rgb="E5E7EB"/>
      </x:bottom>
    </x:border>
    <x:border>
      <x:right style="thin">
        <x:color rgb="D9E2F3"/>
      </x:right>
      <x:bottom style="thin">
        <x:color rgb="E5E7EB"/>
      </x:bottom>
    </x:border>
    <x:border>
      <x:left style="thin">
        <x:color rgb="D9E2F3"/>
      </x:left>
      <x:top style="thin">
        <x:color rgb="D1D5DB"/>
      </x:top>
      <x:bottom style="thin">
        <x:color rgb="D9E2F3"/>
      </x:bottom>
    </x:border>
    <x:border>
      <x:top style="thin">
        <x:color rgb="D1D5DB"/>
      </x:top>
      <x:bottom style="thin">
        <x:color rgb="D9E2F3"/>
      </x:bottom>
    </x:border>
    <x:border>
      <x:right style="thin">
        <x:color rgb="D9E2F3"/>
      </x:right>
      <x:top style="thin">
        <x:color rgb="D1D5DB"/>
      </x:top>
      <x:bottom style="thin">
        <x:color rgb="D9E2F3"/>
      </x:bottom>
    </x:border>
    <x:border>
      <x:left style="thin">
        <x:color rgb="D1D5DB"/>
      </x:left>
      <x:top style="thin">
        <x:color rgb="D1D5DB"/>
      </x:top>
      <x:bottom style="thin">
        <x:color rgb="D9E2F3"/>
      </x:bottom>
    </x:border>
    <x:border>
      <x:left style="thin">
        <x:color rgb="D1D5DB"/>
      </x:left>
      <x:top style="thin">
        <x:color rgb="D9E2F3"/>
      </x:top>
    </x:border>
    <x:border>
      <x:left style="thin">
        <x:color rgb="D1D5DB"/>
      </x:left>
      <x:bottom style="thin">
        <x:color rgb="D9E2F3"/>
      </x:bottom>
    </x:border>
    <x:border>
      <x:right style="thin">
        <x:color rgb="E5E7EB"/>
      </x:right>
      <x:top style="thin">
        <x:color rgb="D9E2F3"/>
      </x:top>
    </x:border>
    <x:border>
      <x:right style="thin">
        <x:color rgb="E5E7EB"/>
      </x:right>
      <x:bottom style="thin">
        <x:color rgb="D9E2F3"/>
      </x:bottom>
    </x:border>
    <x:border>
      <x:left style="thin">
        <x:color rgb="D9E2F3"/>
      </x:left>
      <x:right style="thin">
        <x:color rgb="D1D5DB"/>
      </x:right>
      <x:top style="thin">
        <x:color rgb="D9E2F3"/>
      </x:top>
      <x:bottom style="thin">
        <x:color rgb="D9E2F3"/>
      </x:bottom>
    </x:border>
    <x:border>
      <x:top style="thin">
        <x:color rgb="D9E2F3"/>
      </x:top>
      <x:bottom style="thin">
        <x:color rgb="D9E2F3"/>
      </x:bottom>
    </x:border>
    <x:border>
      <x:right style="thin">
        <x:color rgb="D9E2F3"/>
      </x:right>
      <x:top style="thin">
        <x:color rgb="D9E2F3"/>
      </x:top>
      <x:bottom style="thin">
        <x:color rgb="D9E2F3"/>
      </x:bottom>
    </x:border>
  </x:borders>
  <x:cellStyleXfs count="1">
    <x:xf numFmtId="0" fontId="0" fillId="0" borderId="0"/>
  </x:cellStyleXfs>
  <x:cellXfs count="13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4" xfId="0" applyNumberFormat="1" applyFont="1" applyFill="1" applyBorder="1"/>
    <x:xf numFmtId="0" fontId="5" fillId="6" borderId="5" xfId="0" applyNumberFormat="1" applyFont="1" applyFill="1" applyBorder="1"/>
    <x:xf numFmtId="0" fontId="5" fillId="6" borderId="6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4" xfId="0" applyNumberFormat="1" applyFont="1" applyFill="1" applyBorder="1" applyAlignment="1">
      <x:alignment vertical="center"/>
    </x:xf>
    <x:xf numFmtId="0" fontId="5" fillId="6" borderId="5" xfId="0" applyNumberFormat="1" applyFont="1" applyFill="1" applyBorder="1" applyAlignment="1">
      <x:alignment vertical="center"/>
    </x:xf>
    <x:xf numFmtId="0" fontId="5" fillId="6" borderId="6" xfId="0" applyNumberFormat="1" applyFont="1" applyFill="1" applyBorder="1" applyAlignment="1">
      <x:alignment vertical="center"/>
    </x:xf>
    <x:xf numFmtId="0" fontId="5" fillId="6" borderId="7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0" fontId="5" fillId="6" borderId="10" xfId="0" applyNumberFormat="1" applyFont="1" applyFill="1" applyBorder="1" applyAlignment="1">
      <x:alignment vertical="center"/>
    </x:xf>
    <x:xf numFmtId="0" fontId="5" fillId="6" borderId="11" xfId="0" applyNumberFormat="1" applyFont="1" applyFill="1" applyBorder="1" applyAlignment="1">
      <x:alignment vertical="center"/>
    </x:xf>
    <x:xf numFmtId="0" fontId="5" fillId="7" borderId="5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0" fontId="5" fillId="7" borderId="10" xfId="0" applyNumberFormat="1" applyFont="1" applyFill="1" applyBorder="1" applyAlignment="1">
      <x:alignment vertical="center"/>
    </x:xf>
    <x:xf numFmtId="0" fontId="6" fillId="7" borderId="5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/>
    </x:xf>
    <x:xf numFmtId="0" fontId="6" fillId="7" borderId="10" xfId="0" applyNumberFormat="1" applyFont="1" applyFill="1" applyBorder="1" applyAlignment="1">
      <x:alignment vertical="center"/>
    </x:xf>
    <x:xf numFmtId="0" fontId="6" fillId="7" borderId="12" xfId="0" applyNumberFormat="1" applyFont="1" applyFill="1" applyBorder="1" applyAlignment="1">
      <x:alignment vertical="center"/>
    </x:xf>
    <x:xf numFmtId="0" fontId="6" fillId="7" borderId="13" xfId="0" applyNumberFormat="1" applyFont="1" applyFill="1" applyBorder="1" applyAlignment="1">
      <x:alignment vertical="center"/>
    </x:xf>
    <x:xf numFmtId="0" fontId="6" fillId="7" borderId="14" xfId="0" applyNumberFormat="1" applyFont="1" applyFill="1" applyBorder="1" applyAlignment="1">
      <x:alignment vertical="center"/>
    </x:xf>
    <x:xf numFmtId="0" fontId="6" fillId="7" borderId="15" xfId="0" applyNumberFormat="1" applyFont="1" applyFill="1" applyBorder="1" applyAlignment="1">
      <x:alignment vertical="center"/>
    </x:xf>
    <x:xf numFmtId="0" fontId="6" fillId="7" borderId="16" xfId="0" applyNumberFormat="1" applyFont="1" applyFill="1" applyBorder="1" applyAlignment="1">
      <x:alignment vertical="center"/>
    </x:xf>
    <x:xf numFmtId="0" fontId="6" fillId="7" borderId="17" xfId="0" applyNumberFormat="1" applyFont="1" applyFill="1" applyBorder="1" applyAlignment="1">
      <x:alignment vertical="center"/>
    </x:xf>
    <x:xf numFmtId="0" fontId="6" fillId="7" borderId="18" xfId="0" applyNumberFormat="1" applyFont="1" applyFill="1" applyBorder="1" applyAlignment="1">
      <x:alignment vertical="center"/>
    </x:xf>
    <x:xf numFmtId="0" fontId="6" fillId="7" borderId="19" xfId="0" applyNumberFormat="1" applyFont="1" applyFill="1" applyBorder="1" applyAlignment="1">
      <x:alignment vertical="center"/>
    </x:xf>
    <x:xf numFmtId="200" fontId="6" fillId="7" borderId="12" xfId="0" applyNumberFormat="1" applyFont="1" applyFill="1" applyBorder="1" applyAlignment="1">
      <x:alignment vertical="center"/>
    </x:xf>
    <x:xf numFmtId="200" fontId="6" fillId="7" borderId="15" xfId="0" applyNumberFormat="1" applyFont="1" applyFill="1" applyBorder="1" applyAlignment="1">
      <x:alignment vertical="center"/>
    </x:xf>
    <x:xf numFmtId="200" fontId="6" fillId="7" borderId="17" xfId="0" applyNumberFormat="1" applyFont="1" applyFill="1" applyBorder="1" applyAlignment="1">
      <x:alignment vertical="center"/>
    </x:xf>
    <x:xf numFmtId="201" fontId="6" fillId="7" borderId="13" xfId="0" applyNumberFormat="1" applyFont="1" applyFill="1" applyBorder="1" applyAlignment="1">
      <x:alignment vertical="center"/>
    </x:xf>
    <x:xf numFmtId="201" fontId="6" fillId="7" borderId="0" xfId="0" applyNumberFormat="1" applyFont="1" applyFill="1" applyBorder="1" applyAlignment="1">
      <x:alignment vertical="center"/>
    </x:xf>
    <x:xf numFmtId="201" fontId="6" fillId="7" borderId="18" xfId="0" applyNumberFormat="1" applyFont="1" applyFill="1" applyBorder="1" applyAlignment="1">
      <x:alignment vertical="center"/>
    </x:xf>
    <x:xf numFmtId="202" fontId="6" fillId="7" borderId="13" xfId="0" applyNumberFormat="1" applyFont="1" applyFill="1" applyBorder="1" applyAlignment="1">
      <x:alignment vertical="center"/>
    </x:xf>
    <x:xf numFmtId="202" fontId="6" fillId="7" borderId="0" xfId="0" applyNumberFormat="1" applyFont="1" applyFill="1" applyBorder="1" applyAlignment="1">
      <x:alignment vertical="center"/>
    </x:xf>
    <x:xf numFmtId="202" fontId="6" fillId="7" borderId="18" xfId="0" applyNumberFormat="1" applyFont="1" applyFill="1" applyBorder="1" applyAlignment="1">
      <x:alignment vertical="center"/>
    </x:xf>
    <x:xf numFmtId="203" fontId="6" fillId="7" borderId="13" xfId="0" applyNumberFormat="1" applyFont="1" applyFill="1" applyBorder="1" applyAlignment="1">
      <x:alignment vertical="center"/>
    </x:xf>
    <x:xf numFmtId="203" fontId="6" fillId="7" borderId="0" xfId="0" applyNumberFormat="1" applyFont="1" applyFill="1" applyBorder="1" applyAlignment="1">
      <x:alignment vertical="center"/>
    </x:xf>
    <x:xf numFmtId="203" fontId="6" fillId="7" borderId="18" xfId="0" applyNumberFormat="1" applyFont="1" applyFill="1" applyBorder="1" applyAlignment="1">
      <x:alignment vertical="center"/>
    </x:xf>
    <x:xf numFmtId="204" fontId="6" fillId="7" borderId="13" xfId="0" applyNumberFormat="1" applyFont="1" applyFill="1" applyBorder="1" applyAlignment="1">
      <x:alignment vertical="center"/>
    </x:xf>
    <x:xf numFmtId="204" fontId="6" fillId="7" borderId="0" xfId="0" applyNumberFormat="1" applyFont="1" applyFill="1" applyBorder="1" applyAlignment="1">
      <x:alignment vertical="center"/>
    </x:xf>
    <x:xf numFmtId="204" fontId="6" fillId="7" borderId="18" xfId="0" applyNumberFormat="1" applyFont="1" applyFill="1" applyBorder="1" applyAlignment="1">
      <x:alignment vertical="center"/>
    </x:xf>
    <x:xf numFmtId="205" fontId="6" fillId="7" borderId="13" xfId="0" applyNumberFormat="1" applyFont="1" applyFill="1" applyBorder="1" applyAlignment="1">
      <x:alignment vertical="center"/>
    </x:xf>
    <x:xf numFmtId="205" fontId="6" fillId="7" borderId="0" xfId="0" applyNumberFormat="1" applyFont="1" applyFill="1" applyBorder="1" applyAlignment="1">
      <x:alignment vertical="center"/>
    </x:xf>
    <x:xf numFmtId="205" fontId="6" fillId="7" borderId="18" xfId="0" applyNumberFormat="1" applyFont="1" applyFill="1" applyBorder="1" applyAlignment="1">
      <x:alignment vertical="center"/>
    </x:xf>
    <x:xf numFmtId="201" fontId="6" fillId="7" borderId="14" xfId="0" applyNumberFormat="1" applyFont="1" applyFill="1" applyBorder="1" applyAlignment="1">
      <x:alignment vertical="center"/>
    </x:xf>
    <x:xf numFmtId="201" fontId="6" fillId="7" borderId="16" xfId="0" applyNumberFormat="1" applyFont="1" applyFill="1" applyBorder="1" applyAlignment="1">
      <x:alignment vertical="center"/>
    </x:xf>
    <x:xf numFmtId="201" fontId="6" fillId="7" borderId="19" xfId="0" applyNumberFormat="1" applyFont="1" applyFill="1" applyBorder="1" applyAlignment="1">
      <x:alignment vertical="center"/>
    </x:xf>
    <x:xf numFmtId="0" fontId="6" fillId="7" borderId="20" xfId="0" applyNumberFormat="1" applyFont="1" applyFill="1" applyBorder="1" applyAlignment="1">
      <x:alignment vertical="center"/>
    </x:xf>
    <x:xf numFmtId="0" fontId="6" fillId="7" borderId="21" xfId="0" applyNumberFormat="1" applyFont="1" applyFill="1" applyBorder="1" applyAlignment="1">
      <x:alignment vertical="center"/>
    </x:xf>
    <x:xf numFmtId="0" fontId="6" fillId="7" borderId="22" xfId="0" applyNumberFormat="1" applyFont="1" applyFill="1" applyBorder="1" applyAlignment="1">
      <x:alignment vertical="center"/>
    </x:xf>
    <x:xf numFmtId="0" fontId="5" fillId="8" borderId="5" xfId="0" applyNumberFormat="1" applyFont="1" applyFill="1" applyBorder="1" applyAlignment="1">
      <x:alignment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10" xfId="0" applyNumberFormat="1" applyFont="1" applyFill="1" applyBorder="1" applyAlignment="1">
      <x:alignment vertical="center"/>
    </x:xf>
    <x:xf numFmtId="0" fontId="7" fillId="8" borderId="5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7" fillId="8" borderId="10" xfId="0" applyNumberFormat="1" applyFont="1" applyFill="1" applyBorder="1" applyAlignment="1">
      <x:alignment vertical="center"/>
    </x:xf>
    <x:xf numFmtId="0" fontId="7" fillId="8" borderId="20" xfId="0" applyNumberFormat="1" applyFont="1" applyFill="1" applyBorder="1" applyAlignment="1">
      <x:alignment vertical="center"/>
    </x:xf>
    <x:xf numFmtId="0" fontId="7" fillId="8" borderId="21" xfId="0" applyNumberFormat="1" applyFont="1" applyFill="1" applyBorder="1" applyAlignment="1">
      <x:alignment vertical="center"/>
    </x:xf>
    <x:xf numFmtId="0" fontId="7" fillId="8" borderId="22" xfId="0" applyNumberFormat="1" applyFont="1" applyFill="1" applyBorder="1" applyAlignment="1">
      <x:alignment vertical="center"/>
    </x:xf>
    <x:xf numFmtId="200" fontId="5" fillId="6" borderId="5" xfId="0" applyNumberFormat="1" applyFont="1" applyFill="1" applyBorder="1" applyAlignment="1">
      <x:alignment vertical="center"/>
    </x:xf>
    <x:xf numFmtId="200" fontId="6" fillId="7" borderId="20" xfId="0" applyNumberFormat="1" applyFont="1" applyFill="1" applyBorder="1" applyAlignment="1">
      <x:alignment vertical="center"/>
    </x:xf>
    <x:xf numFmtId="200" fontId="7" fillId="8" borderId="20" xfId="0" applyNumberFormat="1" applyFont="1" applyFill="1" applyBorder="1" applyAlignment="1">
      <x:alignment vertical="center"/>
    </x:xf>
    <x:xf numFmtId="201" fontId="5" fillId="6" borderId="0" xfId="0" applyNumberFormat="1" applyFont="1" applyFill="1" applyBorder="1" applyAlignment="1">
      <x:alignment vertical="center"/>
    </x:xf>
    <x:xf numFmtId="201" fontId="6" fillId="7" borderId="21" xfId="0" applyNumberFormat="1" applyFont="1" applyFill="1" applyBorder="1" applyAlignment="1">
      <x:alignment vertical="center"/>
    </x:xf>
    <x:xf numFmtId="201" fontId="7" fillId="8" borderId="21" xfId="0" applyNumberFormat="1" applyFont="1" applyFill="1" applyBorder="1" applyAlignment="1">
      <x:alignment vertical="center"/>
    </x:xf>
    <x:xf numFmtId="202" fontId="5" fillId="6" borderId="0" xfId="0" applyNumberFormat="1" applyFont="1" applyFill="1" applyBorder="1" applyAlignment="1">
      <x:alignment vertical="center"/>
    </x:xf>
    <x:xf numFmtId="202" fontId="6" fillId="7" borderId="21" xfId="0" applyNumberFormat="1" applyFont="1" applyFill="1" applyBorder="1" applyAlignment="1">
      <x:alignment vertical="center"/>
    </x:xf>
    <x:xf numFmtId="202" fontId="7" fillId="8" borderId="21" xfId="0" applyNumberFormat="1" applyFont="1" applyFill="1" applyBorder="1" applyAlignment="1">
      <x:alignment vertical="center"/>
    </x:xf>
    <x:xf numFmtId="203" fontId="5" fillId="6" borderId="0" xfId="0" applyNumberFormat="1" applyFont="1" applyFill="1" applyBorder="1" applyAlignment="1">
      <x:alignment vertical="center"/>
    </x:xf>
    <x:xf numFmtId="203" fontId="6" fillId="7" borderId="21" xfId="0" applyNumberFormat="1" applyFont="1" applyFill="1" applyBorder="1" applyAlignment="1">
      <x:alignment vertical="center"/>
    </x:xf>
    <x:xf numFmtId="203" fontId="7" fillId="8" borderId="21" xfId="0" applyNumberFormat="1" applyFont="1" applyFill="1" applyBorder="1" applyAlignment="1">
      <x:alignment vertical="center"/>
    </x:xf>
    <x:xf numFmtId="204" fontId="5" fillId="6" borderId="0" xfId="0" applyNumberFormat="1" applyFont="1" applyFill="1" applyBorder="1" applyAlignment="1">
      <x:alignment vertical="center"/>
    </x:xf>
    <x:xf numFmtId="204" fontId="6" fillId="7" borderId="21" xfId="0" applyNumberFormat="1" applyFont="1" applyFill="1" applyBorder="1" applyAlignment="1">
      <x:alignment vertical="center"/>
    </x:xf>
    <x:xf numFmtId="204" fontId="7" fillId="8" borderId="21" xfId="0" applyNumberFormat="1" applyFont="1" applyFill="1" applyBorder="1" applyAlignment="1">
      <x:alignment vertical="center"/>
    </x:xf>
    <x:xf numFmtId="205" fontId="5" fillId="6" borderId="0" xfId="0" applyNumberFormat="1" applyFont="1" applyFill="1" applyBorder="1" applyAlignment="1">
      <x:alignment vertical="center"/>
    </x:xf>
    <x:xf numFmtId="205" fontId="6" fillId="7" borderId="21" xfId="0" applyNumberFormat="1" applyFont="1" applyFill="1" applyBorder="1" applyAlignment="1">
      <x:alignment vertical="center"/>
    </x:xf>
    <x:xf numFmtId="205" fontId="7" fillId="8" borderId="21" xfId="0" applyNumberFormat="1" applyFont="1" applyFill="1" applyBorder="1" applyAlignment="1">
      <x:alignment vertical="center"/>
    </x:xf>
    <x:xf numFmtId="201" fontId="5" fillId="6" borderId="10" xfId="0" applyNumberFormat="1" applyFont="1" applyFill="1" applyBorder="1" applyAlignment="1">
      <x:alignment vertical="center"/>
    </x:xf>
    <x:xf numFmtId="201" fontId="6" fillId="7" borderId="22" xfId="0" applyNumberFormat="1" applyFont="1" applyFill="1" applyBorder="1" applyAlignment="1">
      <x:alignment vertical="center"/>
    </x:xf>
    <x:xf numFmtId="201" fontId="7" fillId="8" borderId="22" xfId="0" applyNumberFormat="1" applyFont="1" applyFill="1" applyBorder="1" applyAlignment="1">
      <x:alignment vertical="center"/>
    </x:xf>
    <x:xf numFmtId="206" fontId="5" fillId="6" borderId="5" xfId="0" applyNumberFormat="1" applyFont="1" applyFill="1" applyBorder="1" applyAlignment="1">
      <x:alignment vertical="center"/>
    </x:xf>
    <x:xf numFmtId="206" fontId="5" fillId="6" borderId="0" xfId="0" applyNumberFormat="1" applyFont="1" applyFill="1" applyBorder="1" applyAlignment="1">
      <x:alignment vertical="center"/>
    </x:xf>
    <x:xf numFmtId="207" fontId="5" fillId="6" borderId="0" xfId="0" applyNumberFormat="1" applyFont="1" applyFill="1" applyBorder="1" applyAlignment="1">
      <x:alignment vertical="center"/>
    </x:xf>
    <x:xf numFmtId="206" fontId="5" fillId="6" borderId="10" xfId="0" applyNumberFormat="1" applyFont="1" applyFill="1" applyBorder="1" applyAlignment="1">
      <x:alignment vertical="center"/>
    </x:xf>
    <x:xf numFmtId="200" fontId="5" fillId="6" borderId="0" xfId="0" applyNumberFormat="1" applyFont="1" applyFill="1" applyBorder="1" applyAlignment="1">
      <x:alignment vertical="center"/>
    </x:xf>
    <x:xf numFmtId="206" fontId="5" fillId="8" borderId="0" xfId="0" applyNumberFormat="1" applyFont="1" applyFill="1" applyBorder="1" applyAlignment="1">
      <x:alignment vertical="center"/>
    </x:xf>
    <x:xf numFmtId="206" fontId="7" fillId="8" borderId="0" xfId="0" applyNumberFormat="1" applyFont="1" applyFill="1" applyBorder="1" applyAlignment="1">
      <x:alignment vertical="center"/>
    </x:xf>
    <x:xf numFmtId="206" fontId="7" fillId="8" borderId="1" xfId="0" applyNumberFormat="1" applyFont="1" applyFill="1" applyBorder="1" applyAlignment="1">
      <x:alignment vertical="center"/>
    </x:xf>
    <x:xf numFmtId="206" fontId="7" fillId="8" borderId="3" xfId="0" applyNumberFormat="1" applyFont="1" applyFill="1" applyBorder="1" applyAlignment="1">
      <x:alignment vertical="center"/>
    </x:xf>
    <x:xf numFmtId="207" fontId="5" fillId="8" borderId="0" xfId="0" applyNumberFormat="1" applyFont="1" applyFill="1" applyBorder="1" applyAlignment="1">
      <x:alignment vertical="center"/>
    </x:xf>
    <x:xf numFmtId="207" fontId="7" fillId="8" borderId="0" xfId="0" applyNumberFormat="1" applyFont="1" applyFill="1" applyBorder="1" applyAlignment="1">
      <x:alignment vertical="center"/>
    </x:xf>
    <x:xf numFmtId="206" fontId="7" fillId="8" borderId="12" xfId="0" applyNumberFormat="1" applyFont="1" applyFill="1" applyBorder="1" applyAlignment="1">
      <x:alignment vertical="center"/>
    </x:xf>
    <x:xf numFmtId="206" fontId="7" fillId="8" borderId="14" xfId="0" applyNumberFormat="1" applyFont="1" applyFill="1" applyBorder="1" applyAlignment="1">
      <x:alignment vertical="center"/>
    </x:xf>
    <x:xf numFmtId="207" fontId="7" fillId="8" borderId="15" xfId="0" applyNumberFormat="1" applyFont="1" applyFill="1" applyBorder="1" applyAlignment="1">
      <x:alignment vertical="center"/>
    </x:xf>
    <x:xf numFmtId="207" fontId="7" fillId="8" borderId="16" xfId="0" applyNumberFormat="1" applyFont="1" applyFill="1" applyBorder="1" applyAlignment="1">
      <x:alignment vertical="center"/>
    </x:xf>
    <x:xf numFmtId="207" fontId="7" fillId="8" borderId="17" xfId="0" applyNumberFormat="1" applyFont="1" applyFill="1" applyBorder="1" applyAlignment="1">
      <x:alignment vertical="center"/>
    </x:xf>
    <x:xf numFmtId="207" fontId="7" fillId="8" borderId="19" xfId="0" applyNumberFormat="1" applyFont="1" applyFill="1" applyBorder="1" applyAlignment="1">
      <x:alignment vertical="center"/>
    </x:xf>
    <x:xf numFmtId="200" fontId="5" fillId="6" borderId="10" xfId="0" applyNumberFormat="1" applyFont="1" applyFill="1" applyBorder="1" applyAlignment="1">
      <x:alignment vertical="center"/>
    </x:xf>
    <x:xf numFmtId="201" fontId="5" fillId="6" borderId="6" xfId="0" applyNumberFormat="1" applyFont="1" applyFill="1" applyBorder="1" applyAlignment="1">
      <x:alignment vertical="center"/>
    </x:xf>
    <x:xf numFmtId="201" fontId="5" fillId="6" borderId="8" xfId="0" applyNumberFormat="1" applyFont="1" applyFill="1" applyBorder="1" applyAlignment="1">
      <x:alignment vertical="center"/>
    </x:xf>
    <x:xf numFmtId="201" fontId="5" fillId="6" borderId="1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201" fontId="5" fillId="6" borderId="5" xfId="0" applyNumberFormat="1" applyFont="1" applyFill="1" applyBorder="1" applyAlignment="1">
      <x:alignment vertical="center"/>
    </x:xf>
    <x:xf numFmtId="201" fontId="6" fillId="7" borderId="2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8" fillId="8" borderId="2" xfId="0" applyNumberFormat="1" applyFont="1" applyFill="1" applyBorder="1"/>
    <x:xf numFmtId="200" fontId="6" fillId="7" borderId="21" xfId="0" applyNumberFormat="1" applyFont="1" applyFill="1" applyBorder="1" applyAlignment="1">
      <x:alignment vertical="center"/>
    </x:xf>
    <x:xf numFmtId="200" fontId="6" fillId="7" borderId="22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8" fillId="8" borderId="2" xfId="0" applyNumberFormat="1" applyFont="1" applyFill="1" applyBorder="1"/>
    <x:xf numFmtId="208" fontId="6" fillId="7" borderId="20" xfId="0" applyNumberFormat="1" applyFont="1" applyFill="1" applyBorder="1" applyAlignment="1">
      <x:alignment vertical="center"/>
    </x:xf>
    <x:xf numFmtId="208" fontId="6" fillId="7" borderId="21" xfId="0" applyNumberFormat="1" applyFont="1" applyFill="1" applyBorder="1" applyAlignment="1">
      <x:alignment vertical="center"/>
    </x:xf>
    <x:xf numFmtId="208" fontId="6" fillId="7" borderId="22" xfId="0" applyNumberFormat="1" applyFont="1" applyFill="1" applyBorder="1" applyAlignment="1">
      <x:alignment vertical="center"/>
    </x:xf>
    <x:xf numFmtId="206" fontId="5" fillId="6" borderId="6" xfId="0" applyNumberFormat="1" applyFont="1" applyFill="1" applyBorder="1" applyAlignment="1">
      <x:alignment vertical="center"/>
    </x:xf>
    <x:xf numFmtId="206" fontId="5" fillId="6" borderId="8" xfId="0" applyNumberFormat="1" applyFont="1" applyFill="1" applyBorder="1" applyAlignment="1">
      <x:alignment vertical="center"/>
    </x:xf>
    <x:xf numFmtId="206" fontId="5" fillId="6" borderId="11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/>
    <x:xf numFmtId="206" fontId="8" fillId="8" borderId="2" xfId="0" applyNumberFormat="1" applyFont="1" applyFill="1" applyBorder="1"/>
    <x:xf numFmtId="206" fontId="8" fillId="8" borderId="3" xfId="0" applyNumberFormat="1" applyFont="1" applyFill="1" applyBorder="1"/>
    <x:xf numFmtId="200" fontId="5" fillId="6" borderId="6" xfId="0" applyNumberFormat="1" applyFont="1" applyFill="1" applyBorder="1" applyAlignment="1">
      <x:alignment vertical="center"/>
    </x:xf>
    <x:xf numFmtId="200" fontId="5" fillId="6" borderId="8" xfId="0" applyNumberFormat="1" applyFont="1" applyFill="1" applyBorder="1" applyAlignment="1">
      <x:alignment vertical="center"/>
    </x:xf>
    <x:xf numFmtId="207" fontId="5" fillId="6" borderId="10" xfId="0" applyNumberFormat="1" applyFont="1" applyFill="1" applyBorder="1" applyAlignment="1">
      <x:alignment vertical="center"/>
    </x:xf>
    <x:xf numFmtId="207" fontId="5" fillId="6" borderId="11" xfId="0" applyNumberFormat="1" applyFont="1" applyFill="1" applyBorder="1" applyAlignment="1">
      <x:alignment vertical="center"/>
    </x:xf>
    <x:xf numFmtId="206" fontId="5" fillId="8" borderId="8" xfId="0" applyNumberFormat="1" applyFont="1" applyFill="1" applyBorder="1" applyAlignment="1">
      <x:alignment vertical="center"/>
    </x:xf>
    <x:xf numFmtId="206" fontId="7" fillId="8" borderId="8" xfId="0" applyNumberFormat="1" applyFont="1" applyFill="1" applyBorder="1" applyAlignment="1">
      <x:alignment vertical="center"/>
    </x:xf>
    <x:xf numFmtId="206" fontId="7" fillId="8" borderId="2" xfId="0" applyNumberFormat="1" applyFont="1" applyFill="1" applyBorder="1" applyAlignment="1">
      <x:alignment vertical="center"/>
    </x:xf>
    <x:xf numFmtId="207" fontId="5" fillId="8" borderId="10" xfId="0" applyNumberFormat="1" applyFont="1" applyFill="1" applyBorder="1" applyAlignment="1">
      <x:alignment vertical="center"/>
    </x:xf>
    <x:xf numFmtId="207" fontId="5" fillId="8" borderId="11" xfId="0" applyNumberFormat="1" applyFont="1" applyFill="1" applyBorder="1" applyAlignment="1">
      <x:alignment vertical="center"/>
    </x:xf>
    <x:xf numFmtId="207" fontId="7" fillId="8" borderId="10" xfId="0" applyNumberFormat="1" applyFont="1" applyFill="1" applyBorder="1" applyAlignment="1">
      <x:alignment vertical="center"/>
    </x:xf>
    <x:xf numFmtId="207" fontId="7" fillId="8" borderId="11" xfId="0" applyNumberFormat="1" applyFont="1" applyFill="1" applyBorder="1" applyAlignment="1">
      <x:alignment vertical="center"/>
    </x:xf>
    <x:xf numFmtId="206" fontId="7" fillId="8" borderId="13" xfId="0" applyNumberFormat="1" applyFont="1" applyFill="1" applyBorder="1" applyAlignment="1">
      <x:alignment vertical="center"/>
    </x:xf>
    <x:xf numFmtId="207" fontId="7" fillId="8" borderId="18" xfId="0" applyNumberFormat="1" applyFont="1" applyFill="1" applyBorder="1" applyAlignment="1">
      <x:alignment vertical="center"/>
    </x:xf>
    <x:xf numFmtId="0" fontId="7" fillId="8" borderId="1" xfId="0" applyNumberFormat="1" applyFont="1" applyFill="1" applyBorder="1" applyAlignment="1">
      <x:alignment vertical="center"/>
    </x:xf>
    <x:xf numFmtId="0" fontId="7" fillId="8" borderId="3" xfId="0" applyNumberFormat="1" applyFont="1" applyFill="1" applyBorder="1" applyAlignment="1">
      <x:alignment vertical="center"/>
    </x:xf>
    <x:xf numFmtId="200" fontId="6" fillId="7" borderId="13" xfId="0" applyNumberFormat="1" applyFont="1" applyFill="1" applyBorder="1" applyAlignment="1">
      <x:alignment vertical="center"/>
    </x:xf>
    <x:xf numFmtId="200" fontId="6" fillId="7" borderId="14" xfId="0" applyNumberFormat="1" applyFont="1" applyFill="1" applyBorder="1" applyAlignment="1">
      <x:alignment vertical="center"/>
    </x:xf>
    <x:xf numFmtId="200" fontId="6" fillId="7" borderId="0" xfId="0" applyNumberFormat="1" applyFont="1" applyFill="1" applyBorder="1" applyAlignment="1">
      <x:alignment vertical="center"/>
    </x:xf>
    <x:xf numFmtId="200" fontId="6" fillId="7" borderId="16" xfId="0" applyNumberFormat="1" applyFont="1" applyFill="1" applyBorder="1" applyAlignment="1">
      <x:alignment vertical="center"/>
    </x:xf>
    <x:xf numFmtId="200" fontId="6" fillId="7" borderId="18" xfId="0" applyNumberFormat="1" applyFont="1" applyFill="1" applyBorder="1" applyAlignment="1">
      <x:alignment vertical="center"/>
    </x:xf>
    <x:xf numFmtId="200" fontId="6" fillId="7" borderId="19" xfId="0" applyNumberFormat="1" applyFont="1" applyFill="1" applyBorder="1" applyAlignment="1">
      <x:alignment vertical="center"/>
    </x:xf>
    <x:xf numFmtId="0" fontId="5" fillId="8" borderId="6" xfId="0" applyNumberFormat="1" applyFont="1" applyFill="1" applyBorder="1" applyAlignment="1">
      <x:alignment vertical="center"/>
    </x:xf>
    <x:xf numFmtId="0" fontId="5" fillId="8" borderId="8" xfId="0" applyNumberFormat="1" applyFont="1" applyFill="1" applyBorder="1" applyAlignment="1">
      <x:alignment vertical="center"/>
    </x:xf>
    <x:xf numFmtId="0" fontId="5" fillId="8" borderId="11" xfId="0" applyNumberFormat="1" applyFont="1" applyFill="1" applyBorder="1" applyAlignment="1">
      <x:alignment vertical="center"/>
    </x:xf>
    <x:xf numFmtId="0" fontId="7" fillId="8" borderId="6" xfId="0" applyNumberFormat="1" applyFont="1" applyFill="1" applyBorder="1" applyAlignment="1">
      <x:alignment vertical="center"/>
    </x:xf>
    <x:xf numFmtId="0" fontId="7" fillId="8" borderId="8" xfId="0" applyNumberFormat="1" applyFont="1" applyFill="1" applyBorder="1" applyAlignment="1">
      <x:alignment vertical="center"/>
    </x:xf>
    <x:xf numFmtId="0" fontId="7" fillId="8" borderId="11" xfId="0" applyNumberFormat="1" applyFont="1" applyFill="1" applyBorder="1" applyAlignment="1">
      <x:alignment vertical="center"/>
    </x:xf>
    <x:xf numFmtId="0" fontId="7" fillId="8" borderId="12" xfId="0" applyNumberFormat="1" applyFont="1" applyFill="1" applyBorder="1" applyAlignment="1">
      <x:alignment vertical="center"/>
    </x:xf>
    <x:xf numFmtId="0" fontId="7" fillId="8" borderId="13" xfId="0" applyNumberFormat="1" applyFont="1" applyFill="1" applyBorder="1" applyAlignment="1">
      <x:alignment vertical="center"/>
    </x:xf>
    <x:xf numFmtId="0" fontId="7" fillId="8" borderId="14" xfId="0" applyNumberFormat="1" applyFont="1" applyFill="1" applyBorder="1" applyAlignment="1">
      <x:alignment vertical="center"/>
    </x:xf>
    <x:xf numFmtId="0" fontId="7" fillId="8" borderId="15" xfId="0" applyNumberFormat="1" applyFont="1" applyFill="1" applyBorder="1" applyAlignment="1">
      <x:alignment vertical="center"/>
    </x:xf>
    <x:xf numFmtId="0" fontId="7" fillId="8" borderId="16" xfId="0" applyNumberFormat="1" applyFont="1" applyFill="1" applyBorder="1" applyAlignment="1">
      <x:alignment vertical="center"/>
    </x:xf>
    <x:xf numFmtId="0" fontId="7" fillId="8" borderId="17" xfId="0" applyNumberFormat="1" applyFont="1" applyFill="1" applyBorder="1" applyAlignment="1">
      <x:alignment vertical="center"/>
    </x:xf>
    <x:xf numFmtId="0" fontId="7" fillId="8" borderId="18" xfId="0" applyNumberFormat="1" applyFont="1" applyFill="1" applyBorder="1" applyAlignment="1">
      <x:alignment vertical="center"/>
    </x:xf>
    <x:xf numFmtId="0" fontId="7" fillId="8" borderId="19" xfId="0" applyNumberFormat="1" applyFont="1" applyFill="1" applyBorder="1" applyAlignment="1">
      <x:alignment vertical="center"/>
    </x:xf>
    <x:xf numFmtId="200" fontId="7" fillId="8" borderId="12" xfId="0" applyNumberFormat="1" applyFont="1" applyFill="1" applyBorder="1" applyAlignment="1">
      <x:alignment vertical="center"/>
    </x:xf>
    <x:xf numFmtId="200" fontId="7" fillId="8" borderId="13" xfId="0" applyNumberFormat="1" applyFont="1" applyFill="1" applyBorder="1" applyAlignment="1">
      <x:alignment vertical="center"/>
    </x:xf>
    <x:xf numFmtId="201" fontId="7" fillId="8" borderId="15" xfId="0" applyNumberFormat="1" applyFont="1" applyFill="1" applyBorder="1" applyAlignment="1">
      <x:alignment vertical="center"/>
    </x:xf>
    <x:xf numFmtId="201" fontId="7" fillId="8" borderId="0" xfId="0" applyNumberFormat="1" applyFont="1" applyFill="1" applyBorder="1" applyAlignment="1">
      <x:alignment vertical="center"/>
    </x:xf>
    <x:xf numFmtId="200" fontId="7" fillId="8" borderId="15" xfId="0" applyNumberFormat="1" applyFont="1" applyFill="1" applyBorder="1" applyAlignment="1">
      <x:alignment vertical="center"/>
    </x:xf>
    <x:xf numFmtId="200" fontId="7" fillId="8" borderId="0" xfId="0" applyNumberFormat="1" applyFont="1" applyFill="1" applyBorder="1" applyAlignment="1">
      <x:alignment vertical="center"/>
    </x:xf>
    <x:xf numFmtId="200" fontId="7" fillId="8" borderId="17" xfId="0" applyNumberFormat="1" applyFont="1" applyFill="1" applyBorder="1" applyAlignment="1">
      <x:alignment vertical="center"/>
    </x:xf>
    <x:xf numFmtId="200" fontId="7" fillId="8" borderId="18" xfId="0" applyNumberFormat="1" applyFont="1" applyFill="1" applyBorder="1" applyAlignment="1">
      <x:alignment vertical="center"/>
    </x:xf>
    <x:xf numFmtId="0" fontId="5" fillId="7" borderId="6" xfId="0" applyNumberFormat="1" applyFont="1" applyFill="1" applyBorder="1" applyAlignment="1">
      <x:alignment vertical="center"/>
    </x:xf>
    <x:xf numFmtId="0" fontId="5" fillId="7" borderId="8" xfId="0" applyNumberFormat="1" applyFont="1" applyFill="1" applyBorder="1" applyAlignment="1">
      <x:alignment vertical="center"/>
    </x:xf>
    <x:xf numFmtId="0" fontId="5" fillId="7" borderId="11" xfId="0" applyNumberFormat="1" applyFont="1" applyFill="1" applyBorder="1" applyAlignment="1">
      <x:alignment vertical="center"/>
    </x:xf>
    <x:xf numFmtId="0" fontId="6" fillId="7" borderId="6" xfId="0" applyNumberFormat="1" applyFont="1" applyFill="1" applyBorder="1" applyAlignment="1">
      <x:alignment vertical="center"/>
    </x:xf>
    <x:xf numFmtId="0" fontId="6" fillId="7" borderId="8" xfId="0" applyNumberFormat="1" applyFont="1" applyFill="1" applyBorder="1" applyAlignment="1">
      <x:alignment vertical="center"/>
    </x:xf>
    <x:xf numFmtId="0" fontId="6" fillId="7" borderId="11" xfId="0" applyNumberFormat="1" applyFont="1" applyFill="1" applyBorder="1" applyAlignment="1">
      <x:alignment vertical="center"/>
    </x:xf>
    <x:xf numFmtId="209" fontId="5" fillId="6" borderId="5" xfId="0" applyNumberFormat="1" applyFont="1" applyFill="1" applyBorder="1" applyAlignment="1">
      <x:alignment vertical="center"/>
    </x:xf>
    <x:xf numFmtId="209" fontId="5" fillId="6" borderId="0" xfId="0" applyNumberFormat="1" applyFont="1" applyFill="1" applyBorder="1" applyAlignment="1">
      <x:alignment vertical="center"/>
    </x:xf>
    <x:xf numFmtId="209" fontId="5" fillId="6" borderId="1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/>
    <x:xf numFmtId="0" fontId="4" fillId="8" borderId="1" xfId="0" applyNumberFormat="1" applyFont="1" applyFill="1" applyBorder="1"/>
    <x:xf numFmtId="0" fontId="4" fillId="8" borderId="3" xfId="0" applyNumberFormat="1" applyFont="1" applyFill="1" applyBorder="1"/>
    <x:xf numFmtId="0" fontId="9" fillId="2" borderId="0" xfId="0" applyNumberFormat="1" applyFont="1" applyFill="1" applyBorder="1" applyAlignment="1">
      <x:alignment horizontal="left" vertical="center"/>
    </x:xf>
    <x:xf numFmtId="0" fontId="10" fillId="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9" fillId="4" borderId="0" xfId="0" applyNumberFormat="1" applyFont="1" applyFill="1" applyBorder="1" applyAlignment="1">
      <x:alignment horizontal="left"/>
    </x:xf>
    <x:xf numFmtId="0" fontId="9" fillId="5" borderId="1" xfId="0" applyNumberFormat="1" applyFont="1" applyFill="1" applyBorder="1" applyAlignment="1">
      <x:alignment horizontal="center" wrapText="1"/>
    </x:xf>
    <x:xf numFmtId="0" fontId="9" fillId="5" borderId="2" xfId="0" applyNumberFormat="1" applyFont="1" applyFill="1" applyBorder="1" applyAlignment="1">
      <x:alignment horizontal="center" wrapText="1"/>
    </x:xf>
    <x:xf numFmtId="0" fontId="9" fillId="5" borderId="3" xfId="0" applyNumberFormat="1" applyFont="1" applyFill="1" applyBorder="1" applyAlignment="1">
      <x:alignment horizontal="center" wrapText="1"/>
    </x:xf>
    <x:xf numFmtId="0" fontId="11" fillId="6" borderId="4" xfId="0" applyNumberFormat="1" applyFont="1" applyFill="1" applyBorder="1" applyAlignment="1">
      <x:alignment vertical="center"/>
    </x:xf>
    <x:xf numFmtId="0" fontId="12" fillId="7" borderId="20" xfId="0" applyNumberFormat="1" applyFont="1" applyFill="1" applyBorder="1" applyAlignment="1">
      <x:alignment vertical="center"/>
    </x:xf>
    <x:xf numFmtId="0" fontId="11" fillId="6" borderId="6" xfId="0" applyNumberFormat="1" applyFont="1" applyFill="1" applyBorder="1" applyAlignment="1">
      <x:alignment vertical="center"/>
    </x:xf>
    <x:xf numFmtId="0" fontId="11" fillId="6" borderId="7" xfId="0" applyNumberFormat="1" applyFont="1" applyFill="1" applyBorder="1" applyAlignment="1">
      <x:alignment vertical="center"/>
    </x:xf>
    <x:xf numFmtId="0" fontId="12" fillId="7" borderId="21" xfId="0" applyNumberFormat="1" applyFont="1" applyFill="1" applyBorder="1" applyAlignment="1">
      <x:alignment vertical="center"/>
    </x:xf>
    <x:xf numFmtId="0" fontId="11" fillId="6" borderId="8" xfId="0" applyNumberFormat="1" applyFont="1" applyFill="1" applyBorder="1" applyAlignment="1">
      <x:alignment vertical="center"/>
    </x:xf>
    <x:xf numFmtId="0" fontId="11" fillId="6" borderId="9" xfId="0" applyNumberFormat="1" applyFont="1" applyFill="1" applyBorder="1" applyAlignment="1">
      <x:alignment vertical="center"/>
    </x:xf>
    <x:xf numFmtId="0" fontId="12" fillId="7" borderId="22" xfId="0" applyNumberFormat="1" applyFont="1" applyFill="1" applyBorder="1" applyAlignment="1">
      <x:alignment vertical="center"/>
    </x:xf>
    <x:xf numFmtId="0" fontId="11" fillId="6" borderId="11" xfId="0" applyNumberFormat="1" applyFont="1" applyFill="1" applyBorder="1" applyAlignment="1">
      <x:alignment vertical="center"/>
    </x:xf>
    <x:xf numFmtId="200" fontId="11" fillId="6" borderId="5" xfId="0" applyNumberFormat="1" applyFont="1" applyFill="1" applyBorder="1" applyAlignment="1">
      <x:alignment vertical="center"/>
    </x:xf>
    <x:xf numFmtId="200" fontId="12" fillId="7" borderId="20" xfId="0" applyNumberFormat="1" applyFont="1" applyFill="1" applyBorder="1" applyAlignment="1">
      <x:alignment vertical="center"/>
    </x:xf>
    <x:xf numFmtId="200" fontId="9" fillId="8" borderId="20" xfId="0" applyNumberFormat="1" applyFont="1" applyFill="1" applyBorder="1" applyAlignment="1">
      <x:alignment vertical="center"/>
    </x:xf>
    <x:xf numFmtId="0" fontId="11" fillId="6" borderId="5" xfId="0" applyNumberFormat="1" applyFont="1" applyFill="1" applyBorder="1" applyAlignment="1">
      <x:alignment vertical="center"/>
    </x:xf>
    <x:xf numFmtId="201" fontId="11" fillId="6" borderId="0" xfId="0" applyNumberFormat="1" applyFont="1" applyFill="1" applyBorder="1" applyAlignment="1">
      <x:alignment vertical="center"/>
    </x:xf>
    <x:xf numFmtId="201" fontId="12" fillId="7" borderId="21" xfId="0" applyNumberFormat="1" applyFont="1" applyFill="1" applyBorder="1" applyAlignment="1">
      <x:alignment vertical="center"/>
    </x:xf>
    <x:xf numFmtId="201" fontId="9" fillId="8" borderId="21" xfId="0" applyNumberFormat="1" applyFont="1" applyFill="1" applyBorder="1" applyAlignment="1">
      <x:alignment vertical="center"/>
    </x:xf>
    <x:xf numFmtId="0" fontId="11" fillId="6" borderId="0" xfId="0" applyNumberFormat="1" applyFont="1" applyFill="1" applyBorder="1" applyAlignment="1">
      <x:alignment vertical="center"/>
    </x:xf>
    <x:xf numFmtId="202" fontId="11" fillId="6" borderId="0" xfId="0" applyNumberFormat="1" applyFont="1" applyFill="1" applyBorder="1" applyAlignment="1">
      <x:alignment vertical="center"/>
    </x:xf>
    <x:xf numFmtId="202" fontId="12" fillId="7" borderId="21" xfId="0" applyNumberFormat="1" applyFont="1" applyFill="1" applyBorder="1" applyAlignment="1">
      <x:alignment vertical="center"/>
    </x:xf>
    <x:xf numFmtId="202" fontId="9" fillId="8" borderId="21" xfId="0" applyNumberFormat="1" applyFont="1" applyFill="1" applyBorder="1" applyAlignment="1">
      <x:alignment vertical="center"/>
    </x:xf>
    <x:xf numFmtId="203" fontId="11" fillId="6" borderId="0" xfId="0" applyNumberFormat="1" applyFont="1" applyFill="1" applyBorder="1" applyAlignment="1">
      <x:alignment vertical="center"/>
    </x:xf>
    <x:xf numFmtId="203" fontId="12" fillId="7" borderId="21" xfId="0" applyNumberFormat="1" applyFont="1" applyFill="1" applyBorder="1" applyAlignment="1">
      <x:alignment vertical="center"/>
    </x:xf>
    <x:xf numFmtId="203" fontId="9" fillId="8" borderId="21" xfId="0" applyNumberFormat="1" applyFont="1" applyFill="1" applyBorder="1" applyAlignment="1">
      <x:alignment vertical="center"/>
    </x:xf>
    <x:xf numFmtId="204" fontId="11" fillId="6" borderId="0" xfId="0" applyNumberFormat="1" applyFont="1" applyFill="1" applyBorder="1" applyAlignment="1">
      <x:alignment vertical="center"/>
    </x:xf>
    <x:xf numFmtId="204" fontId="12" fillId="7" borderId="21" xfId="0" applyNumberFormat="1" applyFont="1" applyFill="1" applyBorder="1" applyAlignment="1">
      <x:alignment vertical="center"/>
    </x:xf>
    <x:xf numFmtId="204" fontId="9" fillId="8" borderId="21" xfId="0" applyNumberFormat="1" applyFont="1" applyFill="1" applyBorder="1" applyAlignment="1">
      <x:alignment vertical="center"/>
    </x:xf>
    <x:xf numFmtId="205" fontId="11" fillId="6" borderId="0" xfId="0" applyNumberFormat="1" applyFont="1" applyFill="1" applyBorder="1" applyAlignment="1">
      <x:alignment vertical="center"/>
    </x:xf>
    <x:xf numFmtId="205" fontId="12" fillId="7" borderId="21" xfId="0" applyNumberFormat="1" applyFont="1" applyFill="1" applyBorder="1" applyAlignment="1">
      <x:alignment vertical="center"/>
    </x:xf>
    <x:xf numFmtId="205" fontId="9" fillId="8" borderId="21" xfId="0" applyNumberFormat="1" applyFont="1" applyFill="1" applyBorder="1" applyAlignment="1">
      <x:alignment vertical="center"/>
    </x:xf>
    <x:xf numFmtId="201" fontId="11" fillId="6" borderId="10" xfId="0" applyNumberFormat="1" applyFont="1" applyFill="1" applyBorder="1" applyAlignment="1">
      <x:alignment vertical="center"/>
    </x:xf>
    <x:xf numFmtId="201" fontId="12" fillId="7" borderId="22" xfId="0" applyNumberFormat="1" applyFont="1" applyFill="1" applyBorder="1" applyAlignment="1">
      <x:alignment vertical="center"/>
    </x:xf>
    <x:xf numFmtId="201" fontId="9" fillId="8" borderId="22" xfId="0" applyNumberFormat="1" applyFont="1" applyFill="1" applyBorder="1" applyAlignment="1">
      <x:alignment vertical="center"/>
    </x:xf>
    <x:xf numFmtId="0" fontId="11" fillId="6" borderId="10" xfId="0" applyNumberFormat="1" applyFont="1" applyFill="1" applyBorder="1" applyAlignment="1">
      <x:alignment vertical="center"/>
    </x:xf>
    <x:xf numFmtId="200" fontId="11" fillId="6" borderId="0" xfId="0" applyNumberFormat="1" applyFont="1" applyFill="1" applyBorder="1" applyAlignment="1">
      <x:alignment vertical="center"/>
    </x:xf>
    <x:xf numFmtId="206" fontId="11" fillId="6" borderId="0" xfId="0" applyNumberFormat="1" applyFont="1" applyFill="1" applyBorder="1" applyAlignment="1">
      <x:alignment vertical="center"/>
    </x:xf>
    <x:xf numFmtId="206" fontId="9" fillId="8" borderId="1" xfId="0" applyNumberFormat="1" applyFont="1" applyFill="1" applyBorder="1" applyAlignment="1">
      <x:alignment vertical="center"/>
    </x:xf>
    <x:xf numFmtId="206" fontId="9" fillId="8" borderId="3" xfId="0" applyNumberFormat="1" applyFont="1" applyFill="1" applyBorder="1" applyAlignment="1">
      <x:alignment vertical="center"/>
    </x:xf>
    <x:xf numFmtId="206" fontId="9" fillId="8" borderId="12" xfId="0" applyNumberFormat="1" applyFont="1" applyFill="1" applyBorder="1" applyAlignment="1">
      <x:alignment vertical="center"/>
    </x:xf>
    <x:xf numFmtId="206" fontId="9" fillId="8" borderId="14" xfId="0" applyNumberFormat="1" applyFont="1" applyFill="1" applyBorder="1" applyAlignment="1">
      <x:alignment vertical="center"/>
    </x:xf>
    <x:xf numFmtId="207" fontId="9" fillId="8" borderId="15" xfId="0" applyNumberFormat="1" applyFont="1" applyFill="1" applyBorder="1" applyAlignment="1">
      <x:alignment vertical="center"/>
    </x:xf>
    <x:xf numFmtId="207" fontId="9" fillId="8" borderId="16" xfId="0" applyNumberFormat="1" applyFont="1" applyFill="1" applyBorder="1" applyAlignment="1">
      <x:alignment vertical="center"/>
    </x:xf>
    <x:xf numFmtId="207" fontId="9" fillId="8" borderId="17" xfId="0" applyNumberFormat="1" applyFont="1" applyFill="1" applyBorder="1" applyAlignment="1">
      <x:alignment vertical="center"/>
    </x:xf>
    <x:xf numFmtId="207" fontId="9" fillId="8" borderId="19" xfId="0" applyNumberFormat="1" applyFont="1" applyFill="1" applyBorder="1" applyAlignment="1">
      <x:alignment vertical="center"/>
    </x:xf>
    <x:xf numFmtId="206" fontId="11" fillId="6" borderId="10" xfId="0" applyNumberFormat="1" applyFont="1" applyFill="1" applyBorder="1" applyAlignment="1">
      <x:alignment vertical="center"/>
    </x:xf>
    <x:xf numFmtId="206" fontId="11" fillId="6" borderId="5" xfId="0" applyNumberFormat="1" applyFont="1" applyFill="1" applyBorder="1" applyAlignment="1">
      <x:alignment vertical="center"/>
    </x:xf>
    <x:xf numFmtId="201" fontId="11" fillId="6" borderId="6" xfId="0" applyNumberFormat="1" applyFont="1" applyFill="1" applyBorder="1" applyAlignment="1">
      <x:alignment vertical="center"/>
    </x:xf>
    <x:xf numFmtId="201" fontId="11" fillId="6" borderId="8" xfId="0" applyNumberFormat="1" applyFont="1" applyFill="1" applyBorder="1" applyAlignment="1">
      <x:alignment vertical="center"/>
    </x:xf>
    <x:xf numFmtId="200" fontId="11" fillId="6" borderId="10" xfId="0" applyNumberFormat="1" applyFont="1" applyFill="1" applyBorder="1" applyAlignment="1">
      <x:alignment vertical="center"/>
    </x:xf>
    <x:xf numFmtId="201" fontId="11" fillId="6" borderId="11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horizontal="left" wrapText="1"/>
    </x:xf>
    <x:xf numFmtId="0" fontId="11" fillId="6" borderId="4" xfId="0" applyNumberFormat="1" applyFont="1" applyFill="1" applyBorder="1" applyAlignment="1">
      <x:alignment vertical="center" wrapText="1"/>
    </x:xf>
    <x:xf numFmtId="0" fontId="12" fillId="7" borderId="20" xfId="0" applyNumberFormat="1" applyFont="1" applyFill="1" applyBorder="1" applyAlignment="1">
      <x:alignment vertical="center" wrapText="1"/>
    </x:xf>
    <x:xf numFmtId="0" fontId="11" fillId="6" borderId="6" xfId="0" applyNumberFormat="1" applyFont="1" applyFill="1" applyBorder="1" applyAlignment="1">
      <x:alignment vertical="center" wrapText="1"/>
    </x:xf>
    <x:xf numFmtId="0" fontId="11" fillId="6" borderId="7" xfId="0" applyNumberFormat="1" applyFont="1" applyFill="1" applyBorder="1" applyAlignment="1">
      <x:alignment vertical="center" wrapText="1"/>
    </x:xf>
    <x:xf numFmtId="0" fontId="12" fillId="7" borderId="21" xfId="0" applyNumberFormat="1" applyFont="1" applyFill="1" applyBorder="1" applyAlignment="1">
      <x:alignment vertical="center" wrapText="1"/>
    </x:xf>
    <x:xf numFmtId="0" fontId="11" fillId="6" borderId="8" xfId="0" applyNumberFormat="1" applyFont="1" applyFill="1" applyBorder="1" applyAlignment="1">
      <x:alignment vertical="center" wrapText="1"/>
    </x:xf>
    <x:xf numFmtId="0" fontId="11" fillId="6" borderId="9" xfId="0" applyNumberFormat="1" applyFont="1" applyFill="1" applyBorder="1" applyAlignment="1">
      <x:alignment vertical="center" wrapText="1"/>
    </x:xf>
    <x:xf numFmtId="0" fontId="12" fillId="7" borderId="22" xfId="0" applyNumberFormat="1" applyFont="1" applyFill="1" applyBorder="1" applyAlignment="1">
      <x:alignment vertical="center" wrapText="1"/>
    </x:xf>
    <x:xf numFmtId="0" fontId="11" fillId="6" borderId="11" xfId="0" applyNumberFormat="1" applyFont="1" applyFill="1" applyBorder="1" applyAlignment="1">
      <x:alignment vertical="center" wrapText="1"/>
    </x:xf>
    <x:xf numFmtId="200" fontId="11" fillId="6" borderId="5" xfId="0" applyNumberFormat="1" applyFont="1" applyFill="1" applyBorder="1" applyAlignment="1">
      <x:alignment vertical="center" wrapText="1"/>
    </x:xf>
    <x:xf numFmtId="200" fontId="12" fillId="7" borderId="20" xfId="0" applyNumberFormat="1" applyFont="1" applyFill="1" applyBorder="1" applyAlignment="1">
      <x:alignment vertical="center" wrapText="1"/>
    </x:xf>
    <x:xf numFmtId="200" fontId="9" fillId="8" borderId="20" xfId="0" applyNumberFormat="1" applyFont="1" applyFill="1" applyBorder="1" applyAlignment="1">
      <x:alignment vertical="center" wrapText="1"/>
    </x:xf>
    <x:xf numFmtId="0" fontId="11" fillId="6" borderId="5" xfId="0" applyNumberFormat="1" applyFont="1" applyFill="1" applyBorder="1" applyAlignment="1">
      <x:alignment vertical="center" wrapText="1"/>
    </x:xf>
    <x:xf numFmtId="201" fontId="11" fillId="6" borderId="0" xfId="0" applyNumberFormat="1" applyFont="1" applyFill="1" applyBorder="1" applyAlignment="1">
      <x:alignment vertical="center" wrapText="1"/>
    </x:xf>
    <x:xf numFmtId="201" fontId="12" fillId="7" borderId="21" xfId="0" applyNumberFormat="1" applyFont="1" applyFill="1" applyBorder="1" applyAlignment="1">
      <x:alignment vertical="center" wrapText="1"/>
    </x:xf>
    <x:xf numFmtId="201" fontId="9" fillId="8" borderId="21" xfId="0" applyNumberFormat="1" applyFont="1" applyFill="1" applyBorder="1" applyAlignment="1">
      <x:alignment vertical="center" wrapText="1"/>
    </x:xf>
    <x:xf numFmtId="0" fontId="11" fillId="6" borderId="0" xfId="0" applyNumberFormat="1" applyFont="1" applyFill="1" applyBorder="1" applyAlignment="1">
      <x:alignment vertical="center" wrapText="1"/>
    </x:xf>
    <x:xf numFmtId="202" fontId="11" fillId="6" borderId="0" xfId="0" applyNumberFormat="1" applyFont="1" applyFill="1" applyBorder="1" applyAlignment="1">
      <x:alignment vertical="center" wrapText="1"/>
    </x:xf>
    <x:xf numFmtId="202" fontId="12" fillId="7" borderId="21" xfId="0" applyNumberFormat="1" applyFont="1" applyFill="1" applyBorder="1" applyAlignment="1">
      <x:alignment vertical="center" wrapText="1"/>
    </x:xf>
    <x:xf numFmtId="202" fontId="9" fillId="8" borderId="21" xfId="0" applyNumberFormat="1" applyFont="1" applyFill="1" applyBorder="1" applyAlignment="1">
      <x:alignment vertical="center" wrapText="1"/>
    </x:xf>
    <x:xf numFmtId="203" fontId="11" fillId="6" borderId="0" xfId="0" applyNumberFormat="1" applyFont="1" applyFill="1" applyBorder="1" applyAlignment="1">
      <x:alignment vertical="center" wrapText="1"/>
    </x:xf>
    <x:xf numFmtId="203" fontId="12" fillId="7" borderId="21" xfId="0" applyNumberFormat="1" applyFont="1" applyFill="1" applyBorder="1" applyAlignment="1">
      <x:alignment vertical="center" wrapText="1"/>
    </x:xf>
    <x:xf numFmtId="203" fontId="9" fillId="8" borderId="21" xfId="0" applyNumberFormat="1" applyFont="1" applyFill="1" applyBorder="1" applyAlignment="1">
      <x:alignment vertical="center" wrapText="1"/>
    </x:xf>
    <x:xf numFmtId="204" fontId="11" fillId="6" borderId="0" xfId="0" applyNumberFormat="1" applyFont="1" applyFill="1" applyBorder="1" applyAlignment="1">
      <x:alignment vertical="center" wrapText="1"/>
    </x:xf>
    <x:xf numFmtId="204" fontId="12" fillId="7" borderId="21" xfId="0" applyNumberFormat="1" applyFont="1" applyFill="1" applyBorder="1" applyAlignment="1">
      <x:alignment vertical="center" wrapText="1"/>
    </x:xf>
    <x:xf numFmtId="204" fontId="9" fillId="8" borderId="21" xfId="0" applyNumberFormat="1" applyFont="1" applyFill="1" applyBorder="1" applyAlignment="1">
      <x:alignment vertical="center" wrapText="1"/>
    </x:xf>
    <x:xf numFmtId="205" fontId="11" fillId="6" borderId="0" xfId="0" applyNumberFormat="1" applyFont="1" applyFill="1" applyBorder="1" applyAlignment="1">
      <x:alignment vertical="center" wrapText="1"/>
    </x:xf>
    <x:xf numFmtId="205" fontId="12" fillId="7" borderId="21" xfId="0" applyNumberFormat="1" applyFont="1" applyFill="1" applyBorder="1" applyAlignment="1">
      <x:alignment vertical="center" wrapText="1"/>
    </x:xf>
    <x:xf numFmtId="205" fontId="9" fillId="8" borderId="21" xfId="0" applyNumberFormat="1" applyFont="1" applyFill="1" applyBorder="1" applyAlignment="1">
      <x:alignment vertical="center" wrapText="1"/>
    </x:xf>
    <x:xf numFmtId="201" fontId="11" fillId="6" borderId="10" xfId="0" applyNumberFormat="1" applyFont="1" applyFill="1" applyBorder="1" applyAlignment="1">
      <x:alignment vertical="center" wrapText="1"/>
    </x:xf>
    <x:xf numFmtId="201" fontId="12" fillId="7" borderId="22" xfId="0" applyNumberFormat="1" applyFont="1" applyFill="1" applyBorder="1" applyAlignment="1">
      <x:alignment vertical="center" wrapText="1"/>
    </x:xf>
    <x:xf numFmtId="201" fontId="9" fillId="8" borderId="22" xfId="0" applyNumberFormat="1" applyFont="1" applyFill="1" applyBorder="1" applyAlignment="1">
      <x:alignment vertical="center" wrapText="1"/>
    </x:xf>
    <x:xf numFmtId="0" fontId="11" fillId="6" borderId="10" xfId="0" applyNumberFormat="1" applyFont="1" applyFill="1" applyBorder="1" applyAlignment="1">
      <x:alignment vertical="center" wrapText="1"/>
    </x:xf>
    <x:xf numFmtId="200" fontId="11" fillId="6" borderId="0" xfId="0" applyNumberFormat="1" applyFont="1" applyFill="1" applyBorder="1" applyAlignment="1">
      <x:alignment vertical="center" wrapText="1"/>
    </x:xf>
    <x:xf numFmtId="206" fontId="11" fillId="6" borderId="0" xfId="0" applyNumberFormat="1" applyFont="1" applyFill="1" applyBorder="1" applyAlignment="1">
      <x:alignment vertical="center" wrapText="1"/>
    </x:xf>
    <x:xf numFmtId="206" fontId="9" fillId="8" borderId="1" xfId="0" applyNumberFormat="1" applyFont="1" applyFill="1" applyBorder="1" applyAlignment="1">
      <x:alignment vertical="center" wrapText="1"/>
    </x:xf>
    <x:xf numFmtId="206" fontId="9" fillId="8" borderId="3" xfId="0" applyNumberFormat="1" applyFont="1" applyFill="1" applyBorder="1" applyAlignment="1">
      <x:alignment vertical="center" wrapText="1"/>
    </x:xf>
    <x:xf numFmtId="206" fontId="9" fillId="8" borderId="12" xfId="0" applyNumberFormat="1" applyFont="1" applyFill="1" applyBorder="1" applyAlignment="1">
      <x:alignment vertical="center" wrapText="1"/>
    </x:xf>
    <x:xf numFmtId="206" fontId="9" fillId="8" borderId="14" xfId="0" applyNumberFormat="1" applyFont="1" applyFill="1" applyBorder="1" applyAlignment="1">
      <x:alignment vertical="center" wrapText="1"/>
    </x:xf>
    <x:xf numFmtId="207" fontId="9" fillId="8" borderId="15" xfId="0" applyNumberFormat="1" applyFont="1" applyFill="1" applyBorder="1" applyAlignment="1">
      <x:alignment vertical="center" wrapText="1"/>
    </x:xf>
    <x:xf numFmtId="207" fontId="9" fillId="8" borderId="16" xfId="0" applyNumberFormat="1" applyFont="1" applyFill="1" applyBorder="1" applyAlignment="1">
      <x:alignment vertical="center" wrapText="1"/>
    </x:xf>
    <x:xf numFmtId="207" fontId="9" fillId="8" borderId="17" xfId="0" applyNumberFormat="1" applyFont="1" applyFill="1" applyBorder="1" applyAlignment="1">
      <x:alignment vertical="center" wrapText="1"/>
    </x:xf>
    <x:xf numFmtId="207" fontId="9" fillId="8" borderId="19" xfId="0" applyNumberFormat="1" applyFont="1" applyFill="1" applyBorder="1" applyAlignment="1">
      <x:alignment vertical="center" wrapText="1"/>
    </x:xf>
    <x:xf numFmtId="206" fontId="11" fillId="6" borderId="10" xfId="0" applyNumberFormat="1" applyFont="1" applyFill="1" applyBorder="1" applyAlignment="1">
      <x:alignment vertical="center" wrapText="1"/>
    </x:xf>
    <x:xf numFmtId="206" fontId="11" fillId="6" borderId="5" xfId="0" applyNumberFormat="1" applyFont="1" applyFill="1" applyBorder="1" applyAlignment="1">
      <x:alignment vertical="center" wrapText="1"/>
    </x:xf>
    <x:xf numFmtId="201" fontId="11" fillId="6" borderId="6" xfId="0" applyNumberFormat="1" applyFont="1" applyFill="1" applyBorder="1" applyAlignment="1">
      <x:alignment vertical="center" wrapText="1"/>
    </x:xf>
    <x:xf numFmtId="201" fontId="11" fillId="6" borderId="8" xfId="0" applyNumberFormat="1" applyFont="1" applyFill="1" applyBorder="1" applyAlignment="1">
      <x:alignment vertical="center" wrapText="1"/>
    </x:xf>
    <x:xf numFmtId="200" fontId="11" fillId="6" borderId="10" xfId="0" applyNumberFormat="1" applyFont="1" applyFill="1" applyBorder="1" applyAlignment="1">
      <x:alignment vertical="center" wrapText="1"/>
    </x:xf>
    <x:xf numFmtId="201" fontId="11" fillId="6" borderId="11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 applyAlignment="1">
      <x:alignment horizontal="left" vertical="center" wrapText="1"/>
    </x:xf>
    <x:xf numFmtId="0" fontId="9" fillId="5" borderId="1" xfId="0" applyNumberFormat="1" applyFont="1" applyFill="1" applyBorder="1" applyAlignment="1">
      <x:alignment horizontal="center" vertical="center" wrapText="1"/>
    </x:xf>
    <x:xf numFmtId="0" fontId="9" fillId="5" borderId="2" xfId="0" applyNumberFormat="1" applyFont="1" applyFill="1" applyBorder="1" applyAlignment="1">
      <x:alignment horizontal="center" vertical="center" wrapText="1"/>
    </x:xf>
    <x:xf numFmtId="0" fontId="9" fillId="5" borderId="3" xfId="0" applyNumberFormat="1" applyFont="1" applyFill="1" applyBorder="1" applyAlignment="1">
      <x:alignment horizontal="center" vertical="center" wrapText="1"/>
    </x:xf>
    <x:xf numFmtId="200" fontId="12" fillId="7" borderId="12" xfId="0" applyNumberFormat="1" applyFont="1" applyFill="1" applyBorder="1" applyAlignment="1">
      <x:alignment vertical="center"/>
    </x:xf>
    <x:xf numFmtId="201" fontId="12" fillId="7" borderId="13" xfId="0" applyNumberFormat="1" applyFont="1" applyFill="1" applyBorder="1" applyAlignment="1">
      <x:alignment vertical="center"/>
    </x:xf>
    <x:xf numFmtId="202" fontId="12" fillId="7" borderId="13" xfId="0" applyNumberFormat="1" applyFont="1" applyFill="1" applyBorder="1" applyAlignment="1">
      <x:alignment vertical="center"/>
    </x:xf>
    <x:xf numFmtId="203" fontId="12" fillId="7" borderId="13" xfId="0" applyNumberFormat="1" applyFont="1" applyFill="1" applyBorder="1" applyAlignment="1">
      <x:alignment vertical="center"/>
    </x:xf>
    <x:xf numFmtId="204" fontId="12" fillId="7" borderId="13" xfId="0" applyNumberFormat="1" applyFont="1" applyFill="1" applyBorder="1" applyAlignment="1">
      <x:alignment vertical="center"/>
    </x:xf>
    <x:xf numFmtId="205" fontId="12" fillId="7" borderId="13" xfId="0" applyNumberFormat="1" applyFont="1" applyFill="1" applyBorder="1" applyAlignment="1">
      <x:alignment vertical="center"/>
    </x:xf>
    <x:xf numFmtId="201" fontId="12" fillId="7" borderId="14" xfId="0" applyNumberFormat="1" applyFont="1" applyFill="1" applyBorder="1" applyAlignment="1">
      <x:alignment vertical="center"/>
    </x:xf>
    <x:xf numFmtId="200" fontId="12" fillId="7" borderId="15" xfId="0" applyNumberFormat="1" applyFont="1" applyFill="1" applyBorder="1" applyAlignment="1">
      <x:alignment vertical="center"/>
    </x:xf>
    <x:xf numFmtId="201" fontId="12" fillId="7" borderId="0" xfId="0" applyNumberFormat="1" applyFont="1" applyFill="1" applyBorder="1" applyAlignment="1">
      <x:alignment vertical="center"/>
    </x:xf>
    <x:xf numFmtId="202" fontId="12" fillId="7" borderId="0" xfId="0" applyNumberFormat="1" applyFont="1" applyFill="1" applyBorder="1" applyAlignment="1">
      <x:alignment vertical="center"/>
    </x:xf>
    <x:xf numFmtId="203" fontId="12" fillId="7" borderId="0" xfId="0" applyNumberFormat="1" applyFont="1" applyFill="1" applyBorder="1" applyAlignment="1">
      <x:alignment vertical="center"/>
    </x:xf>
    <x:xf numFmtId="204" fontId="12" fillId="7" borderId="0" xfId="0" applyNumberFormat="1" applyFont="1" applyFill="1" applyBorder="1" applyAlignment="1">
      <x:alignment vertical="center"/>
    </x:xf>
    <x:xf numFmtId="205" fontId="12" fillId="7" borderId="0" xfId="0" applyNumberFormat="1" applyFont="1" applyFill="1" applyBorder="1" applyAlignment="1">
      <x:alignment vertical="center"/>
    </x:xf>
    <x:xf numFmtId="201" fontId="12" fillId="7" borderId="16" xfId="0" applyNumberFormat="1" applyFont="1" applyFill="1" applyBorder="1" applyAlignment="1">
      <x:alignment vertical="center"/>
    </x:xf>
    <x:xf numFmtId="200" fontId="12" fillId="7" borderId="17" xfId="0" applyNumberFormat="1" applyFont="1" applyFill="1" applyBorder="1" applyAlignment="1">
      <x:alignment vertical="center"/>
    </x:xf>
    <x:xf numFmtId="201" fontId="12" fillId="7" borderId="18" xfId="0" applyNumberFormat="1" applyFont="1" applyFill="1" applyBorder="1" applyAlignment="1">
      <x:alignment vertical="center"/>
    </x:xf>
    <x:xf numFmtId="202" fontId="12" fillId="7" borderId="18" xfId="0" applyNumberFormat="1" applyFont="1" applyFill="1" applyBorder="1" applyAlignment="1">
      <x:alignment vertical="center"/>
    </x:xf>
    <x:xf numFmtId="203" fontId="12" fillId="7" borderId="18" xfId="0" applyNumberFormat="1" applyFont="1" applyFill="1" applyBorder="1" applyAlignment="1">
      <x:alignment vertical="center"/>
    </x:xf>
    <x:xf numFmtId="204" fontId="12" fillId="7" borderId="18" xfId="0" applyNumberFormat="1" applyFont="1" applyFill="1" applyBorder="1" applyAlignment="1">
      <x:alignment vertical="center"/>
    </x:xf>
    <x:xf numFmtId="205" fontId="12" fillId="7" borderId="18" xfId="0" applyNumberFormat="1" applyFont="1" applyFill="1" applyBorder="1" applyAlignment="1">
      <x:alignment vertical="center"/>
    </x:xf>
    <x:xf numFmtId="201" fontId="12" fillId="7" borderId="19" xfId="0" applyNumberFormat="1" applyFont="1" applyFill="1" applyBorder="1" applyAlignment="1">
      <x:alignment vertical="center"/>
    </x:xf>
    <x:xf numFmtId="200" fontId="12" fillId="7" borderId="12" xfId="0" applyNumberFormat="1" applyFont="1" applyFill="1" applyBorder="1" applyAlignment="1">
      <x:alignment vertical="center" wrapText="1"/>
    </x:xf>
    <x:xf numFmtId="201" fontId="12" fillId="7" borderId="13" xfId="0" applyNumberFormat="1" applyFont="1" applyFill="1" applyBorder="1" applyAlignment="1">
      <x:alignment vertical="center" wrapText="1"/>
    </x:xf>
    <x:xf numFmtId="202" fontId="12" fillId="7" borderId="13" xfId="0" applyNumberFormat="1" applyFont="1" applyFill="1" applyBorder="1" applyAlignment="1">
      <x:alignment vertical="center" wrapText="1"/>
    </x:xf>
    <x:xf numFmtId="203" fontId="12" fillId="7" borderId="13" xfId="0" applyNumberFormat="1" applyFont="1" applyFill="1" applyBorder="1" applyAlignment="1">
      <x:alignment vertical="center" wrapText="1"/>
    </x:xf>
    <x:xf numFmtId="204" fontId="12" fillId="7" borderId="13" xfId="0" applyNumberFormat="1" applyFont="1" applyFill="1" applyBorder="1" applyAlignment="1">
      <x:alignment vertical="center" wrapText="1"/>
    </x:xf>
    <x:xf numFmtId="205" fontId="12" fillId="7" borderId="13" xfId="0" applyNumberFormat="1" applyFont="1" applyFill="1" applyBorder="1" applyAlignment="1">
      <x:alignment vertical="center" wrapText="1"/>
    </x:xf>
    <x:xf numFmtId="201" fontId="12" fillId="7" borderId="14" xfId="0" applyNumberFormat="1" applyFont="1" applyFill="1" applyBorder="1" applyAlignment="1">
      <x:alignment vertical="center" wrapText="1"/>
    </x:xf>
    <x:xf numFmtId="200" fontId="12" fillId="7" borderId="15" xfId="0" applyNumberFormat="1" applyFont="1" applyFill="1" applyBorder="1" applyAlignment="1">
      <x:alignment vertical="center" wrapText="1"/>
    </x:xf>
    <x:xf numFmtId="201" fontId="12" fillId="7" borderId="0" xfId="0" applyNumberFormat="1" applyFont="1" applyFill="1" applyBorder="1" applyAlignment="1">
      <x:alignment vertical="center" wrapText="1"/>
    </x:xf>
    <x:xf numFmtId="202" fontId="12" fillId="7" borderId="0" xfId="0" applyNumberFormat="1" applyFont="1" applyFill="1" applyBorder="1" applyAlignment="1">
      <x:alignment vertical="center" wrapText="1"/>
    </x:xf>
    <x:xf numFmtId="203" fontId="12" fillId="7" borderId="0" xfId="0" applyNumberFormat="1" applyFont="1" applyFill="1" applyBorder="1" applyAlignment="1">
      <x:alignment vertical="center" wrapText="1"/>
    </x:xf>
    <x:xf numFmtId="204" fontId="12" fillId="7" borderId="0" xfId="0" applyNumberFormat="1" applyFont="1" applyFill="1" applyBorder="1" applyAlignment="1">
      <x:alignment vertical="center" wrapText="1"/>
    </x:xf>
    <x:xf numFmtId="205" fontId="12" fillId="7" borderId="0" xfId="0" applyNumberFormat="1" applyFont="1" applyFill="1" applyBorder="1" applyAlignment="1">
      <x:alignment vertical="center" wrapText="1"/>
    </x:xf>
    <x:xf numFmtId="201" fontId="12" fillId="7" borderId="16" xfId="0" applyNumberFormat="1" applyFont="1" applyFill="1" applyBorder="1" applyAlignment="1">
      <x:alignment vertical="center" wrapText="1"/>
    </x:xf>
    <x:xf numFmtId="200" fontId="12" fillId="7" borderId="17" xfId="0" applyNumberFormat="1" applyFont="1" applyFill="1" applyBorder="1" applyAlignment="1">
      <x:alignment vertical="center" wrapText="1"/>
    </x:xf>
    <x:xf numFmtId="201" fontId="12" fillId="7" borderId="18" xfId="0" applyNumberFormat="1" applyFont="1" applyFill="1" applyBorder="1" applyAlignment="1">
      <x:alignment vertical="center" wrapText="1"/>
    </x:xf>
    <x:xf numFmtId="202" fontId="12" fillId="7" borderId="18" xfId="0" applyNumberFormat="1" applyFont="1" applyFill="1" applyBorder="1" applyAlignment="1">
      <x:alignment vertical="center" wrapText="1"/>
    </x:xf>
    <x:xf numFmtId="203" fontId="12" fillId="7" borderId="18" xfId="0" applyNumberFormat="1" applyFont="1" applyFill="1" applyBorder="1" applyAlignment="1">
      <x:alignment vertical="center" wrapText="1"/>
    </x:xf>
    <x:xf numFmtId="204" fontId="12" fillId="7" borderId="18" xfId="0" applyNumberFormat="1" applyFont="1" applyFill="1" applyBorder="1" applyAlignment="1">
      <x:alignment vertical="center" wrapText="1"/>
    </x:xf>
    <x:xf numFmtId="205" fontId="12" fillId="7" borderId="18" xfId="0" applyNumberFormat="1" applyFont="1" applyFill="1" applyBorder="1" applyAlignment="1">
      <x:alignment vertical="center" wrapText="1"/>
    </x:xf>
    <x:xf numFmtId="201" fontId="12" fillId="7" borderId="19" xfId="0" applyNumberFormat="1" applyFont="1" applyFill="1" applyBorder="1" applyAlignment="1">
      <x:alignment vertical="center" wrapText="1"/>
    </x:xf>
    <x:xf numFmtId="201" fontId="11" fillId="6" borderId="5" xfId="0" applyNumberFormat="1" applyFont="1" applyFill="1" applyBorder="1" applyAlignment="1">
      <x:alignment vertical="center"/>
    </x:xf>
    <x:xf numFmtId="201" fontId="12" fillId="7" borderId="20" xfId="0" applyNumberFormat="1" applyFont="1" applyFill="1" applyBorder="1" applyAlignment="1">
      <x:alignment vertical="center"/>
    </x:xf>
    <x:xf numFmtId="208" fontId="12" fillId="7" borderId="20" xfId="0" applyNumberFormat="1" applyFont="1" applyFill="1" applyBorder="1" applyAlignment="1">
      <x:alignment vertical="center"/>
    </x:xf>
    <x:xf numFmtId="206" fontId="11" fillId="6" borderId="6" xfId="0" applyNumberFormat="1" applyFont="1" applyFill="1" applyBorder="1" applyAlignment="1">
      <x:alignment vertical="center"/>
    </x:xf>
    <x:xf numFmtId="200" fontId="12" fillId="7" borderId="21" xfId="0" applyNumberFormat="1" applyFont="1" applyFill="1" applyBorder="1" applyAlignment="1">
      <x:alignment vertical="center"/>
    </x:xf>
    <x:xf numFmtId="208" fontId="12" fillId="7" borderId="21" xfId="0" applyNumberFormat="1" applyFont="1" applyFill="1" applyBorder="1" applyAlignment="1">
      <x:alignment vertical="center"/>
    </x:xf>
    <x:xf numFmtId="206" fontId="11" fillId="6" borderId="8" xfId="0" applyNumberFormat="1" applyFont="1" applyFill="1" applyBorder="1" applyAlignment="1">
      <x:alignment vertical="center"/>
    </x:xf>
    <x:xf numFmtId="200" fontId="12" fillId="7" borderId="22" xfId="0" applyNumberFormat="1" applyFont="1" applyFill="1" applyBorder="1" applyAlignment="1">
      <x:alignment vertical="center"/>
    </x:xf>
    <x:xf numFmtId="208" fontId="12" fillId="7" borderId="22" xfId="0" applyNumberFormat="1" applyFont="1" applyFill="1" applyBorder="1" applyAlignment="1">
      <x:alignment vertical="center"/>
    </x:xf>
    <x:xf numFmtId="206" fontId="11" fillId="6" borderId="11" xfId="0" applyNumberFormat="1" applyFont="1" applyFill="1" applyBorder="1" applyAlignment="1">
      <x:alignment vertical="center"/>
    </x:xf>
    <x:xf numFmtId="201" fontId="11" fillId="0" borderId="0" xfId="0" applyNumberFormat="1" applyFont="1" applyFill="1" applyBorder="1"/>
    <x:xf numFmtId="200" fontId="11" fillId="0" borderId="0" xfId="0" applyNumberFormat="1" applyFont="1" applyFill="1" applyBorder="1"/>
    <x:xf numFmtId="206" fontId="11" fillId="0" borderId="0" xfId="0" applyNumberFormat="1" applyFont="1" applyFill="1" applyBorder="1"/>
    <x:xf numFmtId="0" fontId="9" fillId="8" borderId="1" xfId="0" applyNumberFormat="1" applyFont="1" applyFill="1" applyBorder="1"/>
    <x:xf numFmtId="201" fontId="9" fillId="8" borderId="2" xfId="0" applyNumberFormat="1" applyFont="1" applyFill="1" applyBorder="1"/>
    <x:xf numFmtId="200" fontId="9" fillId="8" borderId="2" xfId="0" applyNumberFormat="1" applyFont="1" applyFill="1" applyBorder="1"/>
    <x:xf numFmtId="0" fontId="9" fillId="8" borderId="2" xfId="0" applyNumberFormat="1" applyFont="1" applyFill="1" applyBorder="1"/>
    <x:xf numFmtId="206" fontId="9" fillId="8" borderId="2" xfId="0" applyNumberFormat="1" applyFont="1" applyFill="1" applyBorder="1"/>
    <x:xf numFmtId="206" fontId="9" fillId="8" borderId="3" xfId="0" applyNumberFormat="1" applyFont="1" applyFill="1" applyBorder="1"/>
    <x:xf numFmtId="201" fontId="11" fillId="6" borderId="5" xfId="0" applyNumberFormat="1" applyFont="1" applyFill="1" applyBorder="1" applyAlignment="1">
      <x:alignment vertical="center" wrapText="1"/>
    </x:xf>
    <x:xf numFmtId="201" fontId="12" fillId="7" borderId="20" xfId="0" applyNumberFormat="1" applyFont="1" applyFill="1" applyBorder="1" applyAlignment="1">
      <x:alignment vertical="center" wrapText="1"/>
    </x:xf>
    <x:xf numFmtId="208" fontId="12" fillId="7" borderId="20" xfId="0" applyNumberFormat="1" applyFont="1" applyFill="1" applyBorder="1" applyAlignment="1">
      <x:alignment vertical="center" wrapText="1"/>
    </x:xf>
    <x:xf numFmtId="206" fontId="11" fillId="6" borderId="6" xfId="0" applyNumberFormat="1" applyFont="1" applyFill="1" applyBorder="1" applyAlignment="1">
      <x:alignment vertical="center" wrapText="1"/>
    </x:xf>
    <x:xf numFmtId="200" fontId="12" fillId="7" borderId="21" xfId="0" applyNumberFormat="1" applyFont="1" applyFill="1" applyBorder="1" applyAlignment="1">
      <x:alignment vertical="center" wrapText="1"/>
    </x:xf>
    <x:xf numFmtId="208" fontId="12" fillId="7" borderId="21" xfId="0" applyNumberFormat="1" applyFont="1" applyFill="1" applyBorder="1" applyAlignment="1">
      <x:alignment vertical="center" wrapText="1"/>
    </x:xf>
    <x:xf numFmtId="206" fontId="11" fillId="6" borderId="8" xfId="0" applyNumberFormat="1" applyFont="1" applyFill="1" applyBorder="1" applyAlignment="1">
      <x:alignment vertical="center" wrapText="1"/>
    </x:xf>
    <x:xf numFmtId="200" fontId="12" fillId="7" borderId="22" xfId="0" applyNumberFormat="1" applyFont="1" applyFill="1" applyBorder="1" applyAlignment="1">
      <x:alignment vertical="center" wrapText="1"/>
    </x:xf>
    <x:xf numFmtId="208" fontId="12" fillId="7" borderId="22" xfId="0" applyNumberFormat="1" applyFont="1" applyFill="1" applyBorder="1" applyAlignment="1">
      <x:alignment vertical="center" wrapText="1"/>
    </x:xf>
    <x:xf numFmtId="206" fontId="11" fillId="6" borderId="11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wrapText="1"/>
    </x:xf>
    <x:xf numFmtId="200" fontId="11" fillId="0" borderId="0" xfId="0" applyNumberFormat="1" applyFont="1" applyFill="1" applyBorder="1" applyAlignment="1">
      <x:alignment wrapText="1"/>
    </x:xf>
    <x:xf numFmtId="206" fontId="11" fillId="0" borderId="0" xfId="0" applyNumberFormat="1" applyFont="1" applyFill="1" applyBorder="1" applyAlignment="1">
      <x:alignment wrapText="1"/>
    </x:xf>
    <x:xf numFmtId="0" fontId="9" fillId="8" borderId="1" xfId="0" applyNumberFormat="1" applyFont="1" applyFill="1" applyBorder="1" applyAlignment="1">
      <x:alignment wrapText="1"/>
    </x:xf>
    <x:xf numFmtId="201" fontId="9" fillId="8" borderId="2" xfId="0" applyNumberFormat="1" applyFont="1" applyFill="1" applyBorder="1" applyAlignment="1">
      <x:alignment wrapText="1"/>
    </x:xf>
    <x:xf numFmtId="200" fontId="9" fillId="8" borderId="2" xfId="0" applyNumberFormat="1" applyFont="1" applyFill="1" applyBorder="1" applyAlignment="1">
      <x:alignment wrapText="1"/>
    </x:xf>
    <x:xf numFmtId="0" fontId="9" fillId="8" borderId="2" xfId="0" applyNumberFormat="1" applyFont="1" applyFill="1" applyBorder="1" applyAlignment="1">
      <x:alignment wrapText="1"/>
    </x:xf>
    <x:xf numFmtId="206" fontId="9" fillId="8" borderId="2" xfId="0" applyNumberFormat="1" applyFont="1" applyFill="1" applyBorder="1" applyAlignment="1">
      <x:alignment wrapText="1"/>
    </x:xf>
    <x:xf numFmtId="206" fontId="9" fillId="8" borderId="3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vertical="center" wrapText="1"/>
    </x:xf>
    <x:xf numFmtId="200" fontId="11" fillId="0" borderId="0" xfId="0" applyNumberFormat="1" applyFont="1" applyFill="1" applyBorder="1" applyAlignment="1">
      <x:alignment vertical="center" wrapText="1"/>
    </x:xf>
    <x:xf numFmtId="206" fontId="11" fillId="0" borderId="0" xfId="0" applyNumberFormat="1" applyFont="1" applyFill="1" applyBorder="1" applyAlignment="1">
      <x:alignment vertical="center" wrapText="1"/>
    </x:xf>
    <x:xf numFmtId="0" fontId="9" fillId="8" borderId="1" xfId="0" applyNumberFormat="1" applyFont="1" applyFill="1" applyBorder="1" applyAlignment="1">
      <x:alignment vertical="center" wrapText="1"/>
    </x:xf>
    <x:xf numFmtId="201" fontId="9" fillId="8" borderId="2" xfId="0" applyNumberFormat="1" applyFont="1" applyFill="1" applyBorder="1" applyAlignment="1">
      <x:alignment vertical="center" wrapText="1"/>
    </x:xf>
    <x:xf numFmtId="200" fontId="9" fillId="8" borderId="2" xfId="0" applyNumberFormat="1" applyFont="1" applyFill="1" applyBorder="1" applyAlignment="1">
      <x:alignment vertical="center" wrapText="1"/>
    </x:xf>
    <x:xf numFmtId="0" fontId="9" fillId="8" borderId="2" xfId="0" applyNumberFormat="1" applyFont="1" applyFill="1" applyBorder="1" applyAlignment="1">
      <x:alignment vertical="center" wrapText="1"/>
    </x:xf>
    <x:xf numFmtId="206" fontId="9" fillId="8" borderId="2" xfId="0" applyNumberFormat="1" applyFont="1" applyFill="1" applyBorder="1" applyAlignment="1">
      <x:alignment vertical="center" wrapText="1"/>
    </x:xf>
    <x:xf numFmtId="200" fontId="11" fillId="6" borderId="6" xfId="0" applyNumberFormat="1" applyFont="1" applyFill="1" applyBorder="1" applyAlignment="1">
      <x:alignment vertical="center"/>
    </x:xf>
    <x:xf numFmtId="200" fontId="11" fillId="6" borderId="8" xfId="0" applyNumberFormat="1" applyFont="1" applyFill="1" applyBorder="1" applyAlignment="1">
      <x:alignment vertical="center"/>
    </x:xf>
    <x:xf numFmtId="206" fontId="9" fillId="8" borderId="2" xfId="0" applyNumberFormat="1" applyFont="1" applyFill="1" applyBorder="1" applyAlignment="1">
      <x:alignment vertical="center"/>
    </x:xf>
    <x:xf numFmtId="206" fontId="9" fillId="8" borderId="13" xfId="0" applyNumberFormat="1" applyFont="1" applyFill="1" applyBorder="1" applyAlignment="1">
      <x:alignment vertical="center"/>
    </x:xf>
    <x:xf numFmtId="207" fontId="9" fillId="8" borderId="18" xfId="0" applyNumberFormat="1" applyFont="1" applyFill="1" applyBorder="1" applyAlignment="1">
      <x:alignment vertical="center"/>
    </x:xf>
    <x:xf numFmtId="200" fontId="11" fillId="6" borderId="6" xfId="0" applyNumberFormat="1" applyFont="1" applyFill="1" applyBorder="1" applyAlignment="1">
      <x:alignment vertical="center" wrapText="1"/>
    </x:xf>
    <x:xf numFmtId="200" fontId="11" fillId="6" borderId="8" xfId="0" applyNumberFormat="1" applyFont="1" applyFill="1" applyBorder="1" applyAlignment="1">
      <x:alignment vertical="center" wrapText="1"/>
    </x:xf>
    <x:xf numFmtId="206" fontId="9" fillId="8" borderId="13" xfId="0" applyNumberFormat="1" applyFont="1" applyFill="1" applyBorder="1" applyAlignment="1">
      <x:alignment vertical="center" wrapText="1"/>
    </x:xf>
    <x:xf numFmtId="207" fontId="9" fillId="8" borderId="18" xfId="0" applyNumberFormat="1" applyFont="1" applyFill="1" applyBorder="1" applyAlignment="1">
      <x:alignment vertical="center" wrapText="1"/>
    </x:xf>
    <x:xf numFmtId="0" fontId="12" fillId="7" borderId="12" xfId="0" applyNumberFormat="1" applyFont="1" applyFill="1" applyBorder="1" applyAlignment="1">
      <x:alignment vertical="center"/>
    </x:xf>
    <x:xf numFmtId="200" fontId="12" fillId="7" borderId="13" xfId="0" applyNumberFormat="1" applyFont="1" applyFill="1" applyBorder="1" applyAlignment="1">
      <x:alignment vertical="center"/>
    </x:xf>
    <x:xf numFmtId="200" fontId="12" fillId="7" borderId="14" xfId="0" applyNumberFormat="1" applyFont="1" applyFill="1" applyBorder="1" applyAlignment="1">
      <x:alignment vertical="center"/>
    </x:xf>
    <x:xf numFmtId="0" fontId="12" fillId="7" borderId="15" xfId="0" applyNumberFormat="1" applyFont="1" applyFill="1" applyBorder="1" applyAlignment="1">
      <x:alignment vertical="center"/>
    </x:xf>
    <x:xf numFmtId="200" fontId="12" fillId="7" borderId="0" xfId="0" applyNumberFormat="1" applyFont="1" applyFill="1" applyBorder="1" applyAlignment="1">
      <x:alignment vertical="center"/>
    </x:xf>
    <x:xf numFmtId="200" fontId="12" fillId="7" borderId="16" xfId="0" applyNumberFormat="1" applyFont="1" applyFill="1" applyBorder="1" applyAlignment="1">
      <x:alignment vertical="center"/>
    </x:xf>
    <x:xf numFmtId="0" fontId="12" fillId="7" borderId="17" xfId="0" applyNumberFormat="1" applyFont="1" applyFill="1" applyBorder="1" applyAlignment="1">
      <x:alignment vertical="center"/>
    </x:xf>
    <x:xf numFmtId="200" fontId="12" fillId="7" borderId="18" xfId="0" applyNumberFormat="1" applyFont="1" applyFill="1" applyBorder="1" applyAlignment="1">
      <x:alignment vertical="center"/>
    </x:xf>
    <x:xf numFmtId="200" fontId="12" fillId="7" borderId="19" xfId="0" applyNumberFormat="1" applyFont="1" applyFill="1" applyBorder="1" applyAlignment="1">
      <x:alignment vertical="center"/>
    </x:xf>
    <x:xf numFmtId="200" fontId="9" fillId="8" borderId="12" xfId="0" applyNumberFormat="1" applyFont="1" applyFill="1" applyBorder="1" applyAlignment="1">
      <x:alignment vertical="center"/>
    </x:xf>
    <x:xf numFmtId="200" fontId="9" fillId="8" borderId="13" xfId="0" applyNumberFormat="1" applyFont="1" applyFill="1" applyBorder="1" applyAlignment="1">
      <x:alignment vertical="center"/>
    </x:xf>
    <x:xf numFmtId="0" fontId="9" fillId="8" borderId="14" xfId="0" applyNumberFormat="1" applyFont="1" applyFill="1" applyBorder="1" applyAlignment="1">
      <x:alignment vertical="center"/>
    </x:xf>
    <x:xf numFmtId="201" fontId="9" fillId="8" borderId="15" xfId="0" applyNumberFormat="1" applyFont="1" applyFill="1" applyBorder="1" applyAlignment="1">
      <x:alignment vertical="center"/>
    </x:xf>
    <x:xf numFmtId="201" fontId="9" fillId="8" borderId="0" xfId="0" applyNumberFormat="1" applyFont="1" applyFill="1" applyBorder="1" applyAlignment="1">
      <x:alignment vertical="center"/>
    </x:xf>
    <x:xf numFmtId="0" fontId="9" fillId="8" borderId="16" xfId="0" applyNumberFormat="1" applyFont="1" applyFill="1" applyBorder="1" applyAlignment="1">
      <x:alignment vertical="center"/>
    </x:xf>
    <x:xf numFmtId="200" fontId="9" fillId="8" borderId="15" xfId="0" applyNumberFormat="1" applyFont="1" applyFill="1" applyBorder="1" applyAlignment="1">
      <x:alignment vertical="center"/>
    </x:xf>
    <x:xf numFmtId="200" fontId="9" fillId="8" borderId="0" xfId="0" applyNumberFormat="1" applyFont="1" applyFill="1" applyBorder="1" applyAlignment="1">
      <x:alignment vertical="center"/>
    </x:xf>
    <x:xf numFmtId="200" fontId="9" fillId="8" borderId="17" xfId="0" applyNumberFormat="1" applyFont="1" applyFill="1" applyBorder="1" applyAlignment="1">
      <x:alignment vertical="center"/>
    </x:xf>
    <x:xf numFmtId="200" fontId="9" fillId="8" borderId="18" xfId="0" applyNumberFormat="1" applyFont="1" applyFill="1" applyBorder="1" applyAlignment="1">
      <x:alignment vertical="center"/>
    </x:xf>
    <x:xf numFmtId="0" fontId="9" fillId="8" borderId="19" xfId="0" applyNumberFormat="1" applyFont="1" applyFill="1" applyBorder="1" applyAlignment="1">
      <x:alignment vertical="center"/>
    </x:xf>
    <x:xf numFmtId="0" fontId="12" fillId="7" borderId="12" xfId="0" applyNumberFormat="1" applyFont="1" applyFill="1" applyBorder="1" applyAlignment="1">
      <x:alignment vertical="center" wrapText="1"/>
    </x:xf>
    <x:xf numFmtId="200" fontId="12" fillId="7" borderId="13" xfId="0" applyNumberFormat="1" applyFont="1" applyFill="1" applyBorder="1" applyAlignment="1">
      <x:alignment vertical="center" wrapText="1"/>
    </x:xf>
    <x:xf numFmtId="200" fontId="12" fillId="7" borderId="14" xfId="0" applyNumberFormat="1" applyFont="1" applyFill="1" applyBorder="1" applyAlignment="1">
      <x:alignment vertical="center" wrapText="1"/>
    </x:xf>
    <x:xf numFmtId="0" fontId="12" fillId="7" borderId="15" xfId="0" applyNumberFormat="1" applyFont="1" applyFill="1" applyBorder="1" applyAlignment="1">
      <x:alignment vertical="center" wrapText="1"/>
    </x:xf>
    <x:xf numFmtId="200" fontId="12" fillId="7" borderId="0" xfId="0" applyNumberFormat="1" applyFont="1" applyFill="1" applyBorder="1" applyAlignment="1">
      <x:alignment vertical="center" wrapText="1"/>
    </x:xf>
    <x:xf numFmtId="200" fontId="12" fillId="7" borderId="16" xfId="0" applyNumberFormat="1" applyFont="1" applyFill="1" applyBorder="1" applyAlignment="1">
      <x:alignment vertical="center" wrapText="1"/>
    </x:xf>
    <x:xf numFmtId="0" fontId="12" fillId="7" borderId="17" xfId="0" applyNumberFormat="1" applyFont="1" applyFill="1" applyBorder="1" applyAlignment="1">
      <x:alignment vertical="center" wrapText="1"/>
    </x:xf>
    <x:xf numFmtId="200" fontId="12" fillId="7" borderId="18" xfId="0" applyNumberFormat="1" applyFont="1" applyFill="1" applyBorder="1" applyAlignment="1">
      <x:alignment vertical="center" wrapText="1"/>
    </x:xf>
    <x:xf numFmtId="200" fontId="12" fillId="7" borderId="19" xfId="0" applyNumberFormat="1" applyFont="1" applyFill="1" applyBorder="1" applyAlignment="1">
      <x:alignment vertical="center" wrapText="1"/>
    </x:xf>
    <x:xf numFmtId="200" fontId="9" fillId="8" borderId="12" xfId="0" applyNumberFormat="1" applyFont="1" applyFill="1" applyBorder="1" applyAlignment="1">
      <x:alignment vertical="center" wrapText="1"/>
    </x:xf>
    <x:xf numFmtId="200" fontId="9" fillId="8" borderId="13" xfId="0" applyNumberFormat="1" applyFont="1" applyFill="1" applyBorder="1" applyAlignment="1">
      <x:alignment vertical="center" wrapText="1"/>
    </x:xf>
    <x:xf numFmtId="0" fontId="9" fillId="8" borderId="14" xfId="0" applyNumberFormat="1" applyFont="1" applyFill="1" applyBorder="1" applyAlignment="1">
      <x:alignment vertical="center" wrapText="1"/>
    </x:xf>
    <x:xf numFmtId="201" fontId="9" fillId="8" borderId="15" xfId="0" applyNumberFormat="1" applyFont="1" applyFill="1" applyBorder="1" applyAlignment="1">
      <x:alignment vertical="center" wrapText="1"/>
    </x:xf>
    <x:xf numFmtId="201" fontId="9" fillId="8" borderId="0" xfId="0" applyNumberFormat="1" applyFont="1" applyFill="1" applyBorder="1" applyAlignment="1">
      <x:alignment vertical="center" wrapText="1"/>
    </x:xf>
    <x:xf numFmtId="0" fontId="9" fillId="8" borderId="16" xfId="0" applyNumberFormat="1" applyFont="1" applyFill="1" applyBorder="1" applyAlignment="1">
      <x:alignment vertical="center" wrapText="1"/>
    </x:xf>
    <x:xf numFmtId="200" fontId="9" fillId="8" borderId="15" xfId="0" applyNumberFormat="1" applyFont="1" applyFill="1" applyBorder="1" applyAlignment="1">
      <x:alignment vertical="center" wrapText="1"/>
    </x:xf>
    <x:xf numFmtId="200" fontId="9" fillId="8" borderId="0" xfId="0" applyNumberFormat="1" applyFont="1" applyFill="1" applyBorder="1" applyAlignment="1">
      <x:alignment vertical="center" wrapText="1"/>
    </x:xf>
    <x:xf numFmtId="200" fontId="9" fillId="8" borderId="17" xfId="0" applyNumberFormat="1" applyFont="1" applyFill="1" applyBorder="1" applyAlignment="1">
      <x:alignment vertical="center" wrapText="1"/>
    </x:xf>
    <x:xf numFmtId="200" fontId="9" fillId="8" borderId="18" xfId="0" applyNumberFormat="1" applyFont="1" applyFill="1" applyBorder="1" applyAlignment="1">
      <x:alignment vertical="center" wrapText="1"/>
    </x:xf>
    <x:xf numFmtId="0" fontId="9" fillId="8" borderId="19" xfId="0" applyNumberFormat="1" applyFont="1" applyFill="1" applyBorder="1" applyAlignment="1">
      <x:alignment vertical="center" wrapText="1"/>
    </x:xf>
    <x:xf numFmtId="0" fontId="12" fillId="7" borderId="13" xfId="0" applyNumberFormat="1" applyFont="1" applyFill="1" applyBorder="1" applyAlignment="1">
      <x:alignment vertical="center"/>
    </x:xf>
    <x:xf numFmtId="0" fontId="12" fillId="7" borderId="14" xfId="0" applyNumberFormat="1" applyFont="1" applyFill="1" applyBorder="1" applyAlignment="1">
      <x:alignment vertical="center"/>
    </x:xf>
    <x:xf numFmtId="0" fontId="12" fillId="7" borderId="0" xfId="0" applyNumberFormat="1" applyFont="1" applyFill="1" applyBorder="1" applyAlignment="1">
      <x:alignment vertical="center"/>
    </x:xf>
    <x:xf numFmtId="0" fontId="12" fillId="7" borderId="16" xfId="0" applyNumberFormat="1" applyFont="1" applyFill="1" applyBorder="1" applyAlignment="1">
      <x:alignment vertical="center"/>
    </x:xf>
    <x:xf numFmtId="0" fontId="12" fillId="7" borderId="18" xfId="0" applyNumberFormat="1" applyFont="1" applyFill="1" applyBorder="1" applyAlignment="1">
      <x:alignment vertical="center"/>
    </x:xf>
    <x:xf numFmtId="0" fontId="12" fillId="7" borderId="19" xfId="0" applyNumberFormat="1" applyFont="1" applyFill="1" applyBorder="1" applyAlignment="1">
      <x:alignment vertical="center"/>
    </x:xf>
    <x:xf numFmtId="0" fontId="12" fillId="7" borderId="13" xfId="0" applyNumberFormat="1" applyFont="1" applyFill="1" applyBorder="1" applyAlignment="1">
      <x:alignment vertical="center" wrapText="1"/>
    </x:xf>
    <x:xf numFmtId="0" fontId="12" fillId="7" borderId="14" xfId="0" applyNumberFormat="1" applyFont="1" applyFill="1" applyBorder="1" applyAlignment="1">
      <x:alignment vertical="center" wrapText="1"/>
    </x:xf>
    <x:xf numFmtId="0" fontId="12" fillId="7" borderId="0" xfId="0" applyNumberFormat="1" applyFont="1" applyFill="1" applyBorder="1" applyAlignment="1">
      <x:alignment vertical="center" wrapText="1"/>
    </x:xf>
    <x:xf numFmtId="0" fontId="12" fillId="7" borderId="16" xfId="0" applyNumberFormat="1" applyFont="1" applyFill="1" applyBorder="1" applyAlignment="1">
      <x:alignment vertical="center" wrapText="1"/>
    </x:xf>
    <x:xf numFmtId="0" fontId="12" fillId="7" borderId="18" xfId="0" applyNumberFormat="1" applyFont="1" applyFill="1" applyBorder="1" applyAlignment="1">
      <x:alignment vertical="center" wrapText="1"/>
    </x:xf>
    <x:xf numFmtId="0" fontId="12" fillId="7" borderId="19" xfId="0" applyNumberFormat="1" applyFont="1" applyFill="1" applyBorder="1" applyAlignment="1">
      <x:alignment vertical="center" wrapText="1"/>
    </x:xf>
    <x:xf numFmtId="209" fontId="11" fillId="6" borderId="5" xfId="0" applyNumberFormat="1" applyFont="1" applyFill="1" applyBorder="1" applyAlignment="1">
      <x:alignment vertical="center"/>
    </x:xf>
    <x:xf numFmtId="209" fontId="11" fillId="6" borderId="0" xfId="0" applyNumberFormat="1" applyFont="1" applyFill="1" applyBorder="1" applyAlignment="1">
      <x:alignment vertical="center"/>
    </x:xf>
    <x:xf numFmtId="209" fontId="11" fillId="6" borderId="10" xfId="0" applyNumberFormat="1" applyFont="1" applyFill="1" applyBorder="1" applyAlignment="1">
      <x:alignment vertical="center"/>
    </x:xf>
    <x:xf numFmtId="0" fontId="9" fillId="8" borderId="3" xfId="0" applyNumberFormat="1" applyFont="1" applyFill="1" applyBorder="1"/>
    <x:xf numFmtId="209" fontId="11" fillId="6" borderId="5" xfId="0" applyNumberFormat="1" applyFont="1" applyFill="1" applyBorder="1" applyAlignment="1">
      <x:alignment vertical="center" wrapText="1"/>
    </x:xf>
    <x:xf numFmtId="209" fontId="11" fillId="6" borderId="0" xfId="0" applyNumberFormat="1" applyFont="1" applyFill="1" applyBorder="1" applyAlignment="1">
      <x:alignment vertical="center" wrapText="1"/>
    </x:xf>
    <x:xf numFmtId="209" fontId="11" fillId="6" borderId="10" xfId="0" applyNumberFormat="1" applyFont="1" applyFill="1" applyBorder="1" applyAlignment="1">
      <x:alignment vertical="center" wrapText="1"/>
    </x:xf>
    <x:xf numFmtId="0" fontId="9" fillId="8" borderId="3" xfId="0" applyNumberFormat="1" applyFont="1" applyFill="1" applyBorder="1" applyAlignment="1">
      <x:alignment wrapText="1"/>
    </x:xf>
    <x:xf numFmtId="0" fontId="9" fillId="8" borderId="3" xfId="0" applyNumberFormat="1" applyFont="1" applyFill="1" applyBorder="1" applyAlignment="1">
      <x:alignment vertical="center" wrapText="1"/>
    </x:xf>
    <x:xf numFmtId="0" fontId="13" fillId="2" borderId="0" xfId="0" applyNumberFormat="1" applyFont="1" applyFill="1" applyBorder="1" applyAlignment="1">
      <x:alignment horizontal="left" vertical="center" wrapText="1"/>
    </x:xf>
    <x:xf numFmtId="0" fontId="1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4" fillId="9" borderId="0" xfId="0" applyNumberFormat="1" applyFont="1" applyFill="1" applyBorder="1" applyAlignment="1">
      <x:alignment vertical="center" wrapText="1"/>
    </x:xf>
    <x:xf numFmtId="0" fontId="3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 vertical="center" wrapText="1"/>
    </x:xf>
    <x:xf numFmtId="0" fontId="3" fillId="9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 wrapText="1"/>
    </x:xf>
    <x:xf numFmtId="0" fontId="18" fillId="0" borderId="0" xfId="0" applyNumberFormat="1" applyFont="1" applyFill="1" applyBorder="1" applyAlignment="1">
      <x:alignment vertical="center" wrapText="1"/>
    </x:xf>
    <x:xf numFmtId="0" fontId="15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0" borderId="0" xfId="0" applyNumberFormat="1" applyFont="1" applyFill="1" applyBorder="1"/>
    <x:xf numFmtId="0" fontId="19" fillId="10" borderId="0" xfId="0" applyNumberFormat="1" applyFont="1" applyFill="1" applyBorder="1"/>
    <x:xf numFmtId="0" fontId="15" fillId="0" borderId="23" xfId="0" applyNumberFormat="1" applyFont="1" applyFill="1" applyBorder="1" applyAlignment="1">
      <x:alignment vertical="center" wrapText="1"/>
    </x:xf>
    <x:xf numFmtId="0" fontId="19" fillId="0" borderId="24" xfId="0" applyNumberFormat="1" applyFont="1" applyFill="1" applyBorder="1"/>
    <x:xf numFmtId="0" fontId="19" fillId="0" borderId="25" xfId="0" applyNumberFormat="1" applyFont="1" applyFill="1" applyBorder="1"/>
    <x:xf numFmtId="0" fontId="16" fillId="0" borderId="26" xfId="0" applyNumberFormat="1" applyFont="1" applyFill="1" applyBorder="1" applyAlignment="1">
      <x:alignment vertical="center" wrapText="1"/>
    </x:xf>
    <x:xf numFmtId="0" fontId="19" fillId="0" xfId="0" applyNumberFormat="1" applyFont="1" applyFill="1" applyBorder="0"/>
    <x:xf numFmtId="0" fontId="19" fillId="0" borderId="27" xfId="0" applyNumberFormat="1" applyFont="1" applyFill="1" applyBorder="1"/>
    <x:xf numFmtId="0" fontId="17" fillId="0" borderId="26" xfId="0" applyNumberFormat="1" applyFont="1" applyFill="1" applyBorder="1" applyAlignment="1">
      <x:alignment vertical="center" wrapText="1"/>
    </x:xf>
    <x:xf numFmtId="0" fontId="18" fillId="0" borderId="26" xfId="0" applyNumberFormat="1" applyFont="1" applyFill="1" applyBorder="1" applyAlignment="1">
      <x:alignment vertical="center" wrapText="1"/>
    </x:xf>
    <x:xf numFmtId="0" fontId="15" fillId="10" borderId="28" xfId="0" applyNumberFormat="1" applyFont="1" applyFill="1" applyBorder="1" applyAlignment="1">
      <x:alignment vertical="center" wrapText="1"/>
    </x:xf>
    <x:xf numFmtId="0" fontId="19" fillId="10" borderId="29" xfId="0" applyNumberFormat="1" applyFont="1" applyFill="1" applyBorder="1"/>
    <x:xf numFmtId="0" fontId="19" fillId="10" borderId="30" xfId="0" applyNumberFormat="1" applyFont="1" applyFill="1" applyBorder="1"/>
    <x:xf numFmtId="0" fontId="19" fillId="0" borderId="24" xfId="0" applyNumberFormat="1" applyFont="1" applyFill="1" applyBorder="1" applyAlignment="1">
      <x:alignment wrapText="1"/>
    </x:xf>
    <x:xf numFmtId="0" fontId="19" fillId="0" borderId="25" xfId="0" applyNumberFormat="1" applyFont="1" applyFill="1" applyBorder="1" applyAlignment="1">
      <x:alignment wrapText="1"/>
    </x:xf>
    <x:xf numFmtId="0" fontId="19" fillId="0" xfId="0" applyNumberFormat="1" applyFont="1" applyFill="1" applyBorder="0" applyAlignment="1">
      <x:alignment wrapText="1"/>
    </x:xf>
    <x:xf numFmtId="0" fontId="19" fillId="0" borderId="27" xfId="0" applyNumberFormat="1" applyFont="1" applyFill="1" applyBorder="1" applyAlignment="1">
      <x:alignment wrapText="1"/>
    </x:xf>
    <x:xf numFmtId="0" fontId="19" fillId="10" borderId="29" xfId="0" applyNumberFormat="1" applyFont="1" applyFill="1" applyBorder="1" applyAlignment="1">
      <x:alignment wrapText="1"/>
    </x:xf>
    <x:xf numFmtId="0" fontId="19" fillId="10" borderId="30" xfId="0" applyNumberFormat="1" applyFont="1" applyFill="1" applyBorder="1" applyAlignment="1">
      <x:alignment wrapText="1"/>
    </x:xf>
    <x:xf numFmtId="0" fontId="20" fillId="7" borderId="20" xfId="0" applyNumberFormat="1" applyFont="1" applyFill="1" applyBorder="1" applyAlignment="1">
      <x:alignment vertical="center" wrapText="1"/>
    </x:xf>
    <x:xf numFmtId="0" fontId="20" fillId="7" borderId="21" xfId="0" applyNumberFormat="1" applyFont="1" applyFill="1" applyBorder="1" applyAlignment="1">
      <x:alignment vertical="center" wrapText="1"/>
    </x:xf>
    <x:xf numFmtId="0" fontId="20" fillId="7" borderId="22" xfId="0" applyNumberFormat="1" applyFont="1" applyFill="1" applyBorder="1" applyAlignment="1">
      <x:alignment vertical="center" wrapText="1"/>
    </x:xf>
    <x:xf numFmtId="0" fontId="20" fillId="11" borderId="20" xfId="0" applyNumberFormat="1" applyFont="1" applyFill="1" applyBorder="1" applyAlignment="1">
      <x:alignment vertical="center" wrapText="1"/>
    </x:xf>
    <x:xf numFmtId="0" fontId="20" fillId="11" borderId="21" xfId="0" applyNumberFormat="1" applyFont="1" applyFill="1" applyBorder="1" applyAlignment="1">
      <x:alignment vertical="center" wrapText="1"/>
    </x:xf>
    <x:xf numFmtId="0" fontId="20" fillId="11" borderId="22" xfId="0" applyNumberFormat="1" applyFont="1" applyFill="1" applyBorder="1" applyAlignment="1">
      <x:alignment vertical="center" wrapText="1"/>
    </x:xf>
    <x:xf numFmtId="200" fontId="20" fillId="7" borderId="20" xfId="0" applyNumberFormat="1" applyFont="1" applyFill="1" applyBorder="1" applyAlignment="1">
      <x:alignment vertical="center" wrapText="1"/>
    </x:xf>
    <x:xf numFmtId="201" fontId="20" fillId="7" borderId="21" xfId="0" applyNumberFormat="1" applyFont="1" applyFill="1" applyBorder="1" applyAlignment="1">
      <x:alignment vertical="center" wrapText="1"/>
    </x:xf>
    <x:xf numFmtId="202" fontId="20" fillId="7" borderId="21" xfId="0" applyNumberFormat="1" applyFont="1" applyFill="1" applyBorder="1" applyAlignment="1">
      <x:alignment vertical="center" wrapText="1"/>
    </x:xf>
    <x:xf numFmtId="203" fontId="20" fillId="7" borderId="21" xfId="0" applyNumberFormat="1" applyFont="1" applyFill="1" applyBorder="1" applyAlignment="1">
      <x:alignment vertical="center" wrapText="1"/>
    </x:xf>
    <x:xf numFmtId="204" fontId="20" fillId="7" borderId="21" xfId="0" applyNumberFormat="1" applyFont="1" applyFill="1" applyBorder="1" applyAlignment="1">
      <x:alignment vertical="center" wrapText="1"/>
    </x:xf>
    <x:xf numFmtId="205" fontId="20" fillId="7" borderId="21" xfId="0" applyNumberFormat="1" applyFont="1" applyFill="1" applyBorder="1" applyAlignment="1">
      <x:alignment vertical="center" wrapText="1"/>
    </x:xf>
    <x:xf numFmtId="201" fontId="20" fillId="7" borderId="22" xfId="0" applyNumberFormat="1" applyFont="1" applyFill="1" applyBorder="1" applyAlignment="1">
      <x:alignment vertical="center" wrapText="1"/>
    </x:xf>
    <x:xf numFmtId="200" fontId="20" fillId="11" borderId="20" xfId="0" applyNumberFormat="1" applyFont="1" applyFill="1" applyBorder="1" applyAlignment="1">
      <x:alignment vertical="center" wrapText="1"/>
    </x:xf>
    <x:xf numFmtId="201" fontId="20" fillId="11" borderId="21" xfId="0" applyNumberFormat="1" applyFont="1" applyFill="1" applyBorder="1" applyAlignment="1">
      <x:alignment vertical="center" wrapText="1"/>
    </x:xf>
    <x:xf numFmtId="202" fontId="20" fillId="11" borderId="21" xfId="0" applyNumberFormat="1" applyFont="1" applyFill="1" applyBorder="1" applyAlignment="1">
      <x:alignment vertical="center" wrapText="1"/>
    </x:xf>
    <x:xf numFmtId="203" fontId="20" fillId="11" borderId="21" xfId="0" applyNumberFormat="1" applyFont="1" applyFill="1" applyBorder="1" applyAlignment="1">
      <x:alignment vertical="center" wrapText="1"/>
    </x:xf>
    <x:xf numFmtId="204" fontId="20" fillId="11" borderId="21" xfId="0" applyNumberFormat="1" applyFont="1" applyFill="1" applyBorder="1" applyAlignment="1">
      <x:alignment vertical="center" wrapText="1"/>
    </x:xf>
    <x:xf numFmtId="205" fontId="20" fillId="11" borderId="21" xfId="0" applyNumberFormat="1" applyFont="1" applyFill="1" applyBorder="1" applyAlignment="1">
      <x:alignment vertical="center" wrapText="1"/>
    </x:xf>
    <x:xf numFmtId="201" fontId="20" fillId="11" borderId="22" xfId="0" applyNumberFormat="1" applyFont="1" applyFill="1" applyBorder="1" applyAlignment="1">
      <x:alignment vertical="center" wrapText="1"/>
    </x:xf>
    <x:xf numFmtId="200" fontId="20" fillId="7" borderId="12" xfId="0" applyNumberFormat="1" applyFont="1" applyFill="1" applyBorder="1" applyAlignment="1">
      <x:alignment vertical="center" wrapText="1"/>
    </x:xf>
    <x:xf numFmtId="201" fontId="20" fillId="7" borderId="13" xfId="0" applyNumberFormat="1" applyFont="1" applyFill="1" applyBorder="1" applyAlignment="1">
      <x:alignment vertical="center" wrapText="1"/>
    </x:xf>
    <x:xf numFmtId="202" fontId="20" fillId="7" borderId="13" xfId="0" applyNumberFormat="1" applyFont="1" applyFill="1" applyBorder="1" applyAlignment="1">
      <x:alignment vertical="center" wrapText="1"/>
    </x:xf>
    <x:xf numFmtId="203" fontId="20" fillId="7" borderId="13" xfId="0" applyNumberFormat="1" applyFont="1" applyFill="1" applyBorder="1" applyAlignment="1">
      <x:alignment vertical="center" wrapText="1"/>
    </x:xf>
    <x:xf numFmtId="204" fontId="20" fillId="7" borderId="13" xfId="0" applyNumberFormat="1" applyFont="1" applyFill="1" applyBorder="1" applyAlignment="1">
      <x:alignment vertical="center" wrapText="1"/>
    </x:xf>
    <x:xf numFmtId="205" fontId="20" fillId="7" borderId="13" xfId="0" applyNumberFormat="1" applyFont="1" applyFill="1" applyBorder="1" applyAlignment="1">
      <x:alignment vertical="center" wrapText="1"/>
    </x:xf>
    <x:xf numFmtId="201" fontId="20" fillId="7" borderId="14" xfId="0" applyNumberFormat="1" applyFont="1" applyFill="1" applyBorder="1" applyAlignment="1">
      <x:alignment vertical="center" wrapText="1"/>
    </x:xf>
    <x:xf numFmtId="200" fontId="20" fillId="7" borderId="15" xfId="0" applyNumberFormat="1" applyFont="1" applyFill="1" applyBorder="1" applyAlignment="1">
      <x:alignment vertical="center" wrapText="1"/>
    </x:xf>
    <x:xf numFmtId="201" fontId="20" fillId="7" borderId="0" xfId="0" applyNumberFormat="1" applyFont="1" applyFill="1" applyBorder="1" applyAlignment="1">
      <x:alignment vertical="center" wrapText="1"/>
    </x:xf>
    <x:xf numFmtId="202" fontId="20" fillId="7" borderId="0" xfId="0" applyNumberFormat="1" applyFont="1" applyFill="1" applyBorder="1" applyAlignment="1">
      <x:alignment vertical="center" wrapText="1"/>
    </x:xf>
    <x:xf numFmtId="203" fontId="20" fillId="7" borderId="0" xfId="0" applyNumberFormat="1" applyFont="1" applyFill="1" applyBorder="1" applyAlignment="1">
      <x:alignment vertical="center" wrapText="1"/>
    </x:xf>
    <x:xf numFmtId="204" fontId="20" fillId="7" borderId="0" xfId="0" applyNumberFormat="1" applyFont="1" applyFill="1" applyBorder="1" applyAlignment="1">
      <x:alignment vertical="center" wrapText="1"/>
    </x:xf>
    <x:xf numFmtId="205" fontId="20" fillId="7" borderId="0" xfId="0" applyNumberFormat="1" applyFont="1" applyFill="1" applyBorder="1" applyAlignment="1">
      <x:alignment vertical="center" wrapText="1"/>
    </x:xf>
    <x:xf numFmtId="201" fontId="20" fillId="7" borderId="16" xfId="0" applyNumberFormat="1" applyFont="1" applyFill="1" applyBorder="1" applyAlignment="1">
      <x:alignment vertical="center" wrapText="1"/>
    </x:xf>
    <x:xf numFmtId="200" fontId="20" fillId="7" borderId="17" xfId="0" applyNumberFormat="1" applyFont="1" applyFill="1" applyBorder="1" applyAlignment="1">
      <x:alignment vertical="center" wrapText="1"/>
    </x:xf>
    <x:xf numFmtId="201" fontId="20" fillId="7" borderId="18" xfId="0" applyNumberFormat="1" applyFont="1" applyFill="1" applyBorder="1" applyAlignment="1">
      <x:alignment vertical="center" wrapText="1"/>
    </x:xf>
    <x:xf numFmtId="202" fontId="20" fillId="7" borderId="18" xfId="0" applyNumberFormat="1" applyFont="1" applyFill="1" applyBorder="1" applyAlignment="1">
      <x:alignment vertical="center" wrapText="1"/>
    </x:xf>
    <x:xf numFmtId="203" fontId="20" fillId="7" borderId="18" xfId="0" applyNumberFormat="1" applyFont="1" applyFill="1" applyBorder="1" applyAlignment="1">
      <x:alignment vertical="center" wrapText="1"/>
    </x:xf>
    <x:xf numFmtId="204" fontId="20" fillId="7" borderId="18" xfId="0" applyNumberFormat="1" applyFont="1" applyFill="1" applyBorder="1" applyAlignment="1">
      <x:alignment vertical="center" wrapText="1"/>
    </x:xf>
    <x:xf numFmtId="205" fontId="20" fillId="7" borderId="18" xfId="0" applyNumberFormat="1" applyFont="1" applyFill="1" applyBorder="1" applyAlignment="1">
      <x:alignment vertical="center" wrapText="1"/>
    </x:xf>
    <x:xf numFmtId="201" fontId="20" fillId="7" borderId="19" xfId="0" applyNumberFormat="1" applyFont="1" applyFill="1" applyBorder="1" applyAlignment="1">
      <x:alignment vertical="center" wrapText="1"/>
    </x:xf>
    <x:xf numFmtId="200" fontId="20" fillId="11" borderId="12" xfId="0" applyNumberFormat="1" applyFont="1" applyFill="1" applyBorder="1" applyAlignment="1">
      <x:alignment vertical="center" wrapText="1"/>
    </x:xf>
    <x:xf numFmtId="201" fontId="20" fillId="11" borderId="13" xfId="0" applyNumberFormat="1" applyFont="1" applyFill="1" applyBorder="1" applyAlignment="1">
      <x:alignment vertical="center" wrapText="1"/>
    </x:xf>
    <x:xf numFmtId="202" fontId="20" fillId="11" borderId="13" xfId="0" applyNumberFormat="1" applyFont="1" applyFill="1" applyBorder="1" applyAlignment="1">
      <x:alignment vertical="center" wrapText="1"/>
    </x:xf>
    <x:xf numFmtId="203" fontId="20" fillId="11" borderId="13" xfId="0" applyNumberFormat="1" applyFont="1" applyFill="1" applyBorder="1" applyAlignment="1">
      <x:alignment vertical="center" wrapText="1"/>
    </x:xf>
    <x:xf numFmtId="204" fontId="20" fillId="11" borderId="13" xfId="0" applyNumberFormat="1" applyFont="1" applyFill="1" applyBorder="1" applyAlignment="1">
      <x:alignment vertical="center" wrapText="1"/>
    </x:xf>
    <x:xf numFmtId="205" fontId="20" fillId="11" borderId="13" xfId="0" applyNumberFormat="1" applyFont="1" applyFill="1" applyBorder="1" applyAlignment="1">
      <x:alignment vertical="center" wrapText="1"/>
    </x:xf>
    <x:xf numFmtId="201" fontId="20" fillId="11" borderId="14" xfId="0" applyNumberFormat="1" applyFont="1" applyFill="1" applyBorder="1" applyAlignment="1">
      <x:alignment vertical="center" wrapText="1"/>
    </x:xf>
    <x:xf numFmtId="200" fontId="20" fillId="11" borderId="15" xfId="0" applyNumberFormat="1" applyFont="1" applyFill="1" applyBorder="1" applyAlignment="1">
      <x:alignment vertical="center" wrapText="1"/>
    </x:xf>
    <x:xf numFmtId="201" fontId="20" fillId="11" borderId="0" xfId="0" applyNumberFormat="1" applyFont="1" applyFill="1" applyBorder="1" applyAlignment="1">
      <x:alignment vertical="center" wrapText="1"/>
    </x:xf>
    <x:xf numFmtId="202" fontId="20" fillId="11" borderId="0" xfId="0" applyNumberFormat="1" applyFont="1" applyFill="1" applyBorder="1" applyAlignment="1">
      <x:alignment vertical="center" wrapText="1"/>
    </x:xf>
    <x:xf numFmtId="203" fontId="20" fillId="11" borderId="0" xfId="0" applyNumberFormat="1" applyFont="1" applyFill="1" applyBorder="1" applyAlignment="1">
      <x:alignment vertical="center" wrapText="1"/>
    </x:xf>
    <x:xf numFmtId="204" fontId="20" fillId="11" borderId="0" xfId="0" applyNumberFormat="1" applyFont="1" applyFill="1" applyBorder="1" applyAlignment="1">
      <x:alignment vertical="center" wrapText="1"/>
    </x:xf>
    <x:xf numFmtId="205" fontId="20" fillId="11" borderId="0" xfId="0" applyNumberFormat="1" applyFont="1" applyFill="1" applyBorder="1" applyAlignment="1">
      <x:alignment vertical="center" wrapText="1"/>
    </x:xf>
    <x:xf numFmtId="201" fontId="20" fillId="11" borderId="16" xfId="0" applyNumberFormat="1" applyFont="1" applyFill="1" applyBorder="1" applyAlignment="1">
      <x:alignment vertical="center" wrapText="1"/>
    </x:xf>
    <x:xf numFmtId="200" fontId="20" fillId="11" borderId="17" xfId="0" applyNumberFormat="1" applyFont="1" applyFill="1" applyBorder="1" applyAlignment="1">
      <x:alignment vertical="center" wrapText="1"/>
    </x:xf>
    <x:xf numFmtId="201" fontId="20" fillId="11" borderId="18" xfId="0" applyNumberFormat="1" applyFont="1" applyFill="1" applyBorder="1" applyAlignment="1">
      <x:alignment vertical="center" wrapText="1"/>
    </x:xf>
    <x:xf numFmtId="202" fontId="20" fillId="11" borderId="18" xfId="0" applyNumberFormat="1" applyFont="1" applyFill="1" applyBorder="1" applyAlignment="1">
      <x:alignment vertical="center" wrapText="1"/>
    </x:xf>
    <x:xf numFmtId="203" fontId="20" fillId="11" borderId="18" xfId="0" applyNumberFormat="1" applyFont="1" applyFill="1" applyBorder="1" applyAlignment="1">
      <x:alignment vertical="center" wrapText="1"/>
    </x:xf>
    <x:xf numFmtId="204" fontId="20" fillId="11" borderId="18" xfId="0" applyNumberFormat="1" applyFont="1" applyFill="1" applyBorder="1" applyAlignment="1">
      <x:alignment vertical="center" wrapText="1"/>
    </x:xf>
    <x:xf numFmtId="205" fontId="20" fillId="11" borderId="18" xfId="0" applyNumberFormat="1" applyFont="1" applyFill="1" applyBorder="1" applyAlignment="1">
      <x:alignment vertical="center" wrapText="1"/>
    </x:xf>
    <x:xf numFmtId="201" fontId="20" fillId="11" borderId="19" xfId="0" applyNumberFormat="1" applyFont="1" applyFill="1" applyBorder="1" applyAlignment="1">
      <x:alignment vertical="center" wrapText="1"/>
    </x:xf>
    <x:xf numFmtId="201" fontId="20" fillId="7" borderId="20" xfId="0" applyNumberFormat="1" applyFont="1" applyFill="1" applyBorder="1" applyAlignment="1">
      <x:alignment vertical="center" wrapText="1"/>
    </x:xf>
    <x:xf numFmtId="201" fontId="20" fillId="11" borderId="20" xfId="0" applyNumberFormat="1" applyFont="1" applyFill="1" applyBorder="1" applyAlignment="1">
      <x:alignment vertical="center" wrapText="1"/>
    </x:xf>
    <x:xf numFmtId="200" fontId="20" fillId="7" borderId="21" xfId="0" applyNumberFormat="1" applyFont="1" applyFill="1" applyBorder="1" applyAlignment="1">
      <x:alignment vertical="center" wrapText="1"/>
    </x:xf>
    <x:xf numFmtId="200" fontId="20" fillId="7" borderId="22" xfId="0" applyNumberFormat="1" applyFont="1" applyFill="1" applyBorder="1" applyAlignment="1">
      <x:alignment vertical="center" wrapText="1"/>
    </x:xf>
    <x:xf numFmtId="200" fontId="20" fillId="11" borderId="21" xfId="0" applyNumberFormat="1" applyFont="1" applyFill="1" applyBorder="1" applyAlignment="1">
      <x:alignment vertical="center" wrapText="1"/>
    </x:xf>
    <x:xf numFmtId="200" fontId="20" fillId="11" borderId="22" xfId="0" applyNumberFormat="1" applyFont="1" applyFill="1" applyBorder="1" applyAlignment="1">
      <x:alignment vertical="center" wrapText="1"/>
    </x:xf>
    <x:xf numFmtId="208" fontId="20" fillId="7" borderId="20" xfId="0" applyNumberFormat="1" applyFont="1" applyFill="1" applyBorder="1" applyAlignment="1">
      <x:alignment vertical="center" wrapText="1"/>
    </x:xf>
    <x:xf numFmtId="208" fontId="20" fillId="7" borderId="21" xfId="0" applyNumberFormat="1" applyFont="1" applyFill="1" applyBorder="1" applyAlignment="1">
      <x:alignment vertical="center" wrapText="1"/>
    </x:xf>
    <x:xf numFmtId="208" fontId="20" fillId="7" borderId="22" xfId="0" applyNumberFormat="1" applyFont="1" applyFill="1" applyBorder="1" applyAlignment="1">
      <x:alignment vertical="center" wrapText="1"/>
    </x:xf>
    <x:xf numFmtId="208" fontId="20" fillId="11" borderId="20" xfId="0" applyNumberFormat="1" applyFont="1" applyFill="1" applyBorder="1" applyAlignment="1">
      <x:alignment vertical="center" wrapText="1"/>
    </x:xf>
    <x:xf numFmtId="208" fontId="20" fillId="11" borderId="21" xfId="0" applyNumberFormat="1" applyFont="1" applyFill="1" applyBorder="1" applyAlignment="1">
      <x:alignment vertical="center" wrapText="1"/>
    </x:xf>
    <x:xf numFmtId="208" fontId="20" fillId="11" borderId="22" xfId="0" applyNumberFormat="1" applyFont="1" applyFill="1" applyBorder="1" applyAlignment="1">
      <x:alignment vertical="center" wrapText="1"/>
    </x:xf>
    <x:xf numFmtId="0" fontId="20" fillId="7" borderId="12" xfId="0" applyNumberFormat="1" applyFont="1" applyFill="1" applyBorder="1" applyAlignment="1">
      <x:alignment vertical="center" wrapText="1"/>
    </x:xf>
    <x:xf numFmtId="200" fontId="20" fillId="7" borderId="13" xfId="0" applyNumberFormat="1" applyFont="1" applyFill="1" applyBorder="1" applyAlignment="1">
      <x:alignment vertical="center" wrapText="1"/>
    </x:xf>
    <x:xf numFmtId="200" fontId="20" fillId="7" borderId="14" xfId="0" applyNumberFormat="1" applyFont="1" applyFill="1" applyBorder="1" applyAlignment="1">
      <x:alignment vertical="center" wrapText="1"/>
    </x:xf>
    <x:xf numFmtId="0" fontId="20" fillId="7" borderId="15" xfId="0" applyNumberFormat="1" applyFont="1" applyFill="1" applyBorder="1" applyAlignment="1">
      <x:alignment vertical="center" wrapText="1"/>
    </x:xf>
    <x:xf numFmtId="200" fontId="20" fillId="7" borderId="0" xfId="0" applyNumberFormat="1" applyFont="1" applyFill="1" applyBorder="1" applyAlignment="1">
      <x:alignment vertical="center" wrapText="1"/>
    </x:xf>
    <x:xf numFmtId="200" fontId="20" fillId="7" borderId="16" xfId="0" applyNumberFormat="1" applyFont="1" applyFill="1" applyBorder="1" applyAlignment="1">
      <x:alignment vertical="center" wrapText="1"/>
    </x:xf>
    <x:xf numFmtId="0" fontId="20" fillId="7" borderId="17" xfId="0" applyNumberFormat="1" applyFont="1" applyFill="1" applyBorder="1" applyAlignment="1">
      <x:alignment vertical="center" wrapText="1"/>
    </x:xf>
    <x:xf numFmtId="200" fontId="20" fillId="7" borderId="18" xfId="0" applyNumberFormat="1" applyFont="1" applyFill="1" applyBorder="1" applyAlignment="1">
      <x:alignment vertical="center" wrapText="1"/>
    </x:xf>
    <x:xf numFmtId="200" fontId="20" fillId="7" borderId="19" xfId="0" applyNumberFormat="1" applyFont="1" applyFill="1" applyBorder="1" applyAlignment="1">
      <x:alignment vertical="center" wrapText="1"/>
    </x:xf>
    <x:xf numFmtId="0" fontId="20" fillId="11" borderId="12" xfId="0" applyNumberFormat="1" applyFont="1" applyFill="1" applyBorder="1" applyAlignment="1">
      <x:alignment vertical="center" wrapText="1"/>
    </x:xf>
    <x:xf numFmtId="200" fontId="20" fillId="11" borderId="13" xfId="0" applyNumberFormat="1" applyFont="1" applyFill="1" applyBorder="1" applyAlignment="1">
      <x:alignment vertical="center" wrapText="1"/>
    </x:xf>
    <x:xf numFmtId="200" fontId="20" fillId="11" borderId="14" xfId="0" applyNumberFormat="1" applyFont="1" applyFill="1" applyBorder="1" applyAlignment="1">
      <x:alignment vertical="center" wrapText="1"/>
    </x:xf>
    <x:xf numFmtId="0" fontId="20" fillId="11" borderId="15" xfId="0" applyNumberFormat="1" applyFont="1" applyFill="1" applyBorder="1" applyAlignment="1">
      <x:alignment vertical="center" wrapText="1"/>
    </x:xf>
    <x:xf numFmtId="200" fontId="20" fillId="11" borderId="0" xfId="0" applyNumberFormat="1" applyFont="1" applyFill="1" applyBorder="1" applyAlignment="1">
      <x:alignment vertical="center" wrapText="1"/>
    </x:xf>
    <x:xf numFmtId="200" fontId="20" fillId="11" borderId="16" xfId="0" applyNumberFormat="1" applyFont="1" applyFill="1" applyBorder="1" applyAlignment="1">
      <x:alignment vertical="center" wrapText="1"/>
    </x:xf>
    <x:xf numFmtId="0" fontId="20" fillId="11" borderId="17" xfId="0" applyNumberFormat="1" applyFont="1" applyFill="1" applyBorder="1" applyAlignment="1">
      <x:alignment vertical="center" wrapText="1"/>
    </x:xf>
    <x:xf numFmtId="200" fontId="20" fillId="11" borderId="18" xfId="0" applyNumberFormat="1" applyFont="1" applyFill="1" applyBorder="1" applyAlignment="1">
      <x:alignment vertical="center" wrapText="1"/>
    </x:xf>
    <x:xf numFmtId="200" fontId="20" fillId="11" borderId="19" xfId="0" applyNumberFormat="1" applyFont="1" applyFill="1" applyBorder="1" applyAlignment="1">
      <x:alignment vertical="center" wrapText="1"/>
    </x:xf>
    <x:xf numFmtId="0" fontId="20" fillId="7" borderId="13" xfId="0" applyNumberFormat="1" applyFont="1" applyFill="1" applyBorder="1" applyAlignment="1">
      <x:alignment vertical="center" wrapText="1"/>
    </x:xf>
    <x:xf numFmtId="0" fontId="20" fillId="7" borderId="14" xfId="0" applyNumberFormat="1" applyFont="1" applyFill="1" applyBorder="1" applyAlignment="1">
      <x:alignment vertical="center" wrapText="1"/>
    </x:xf>
    <x:xf numFmtId="0" fontId="20" fillId="7" borderId="0" xfId="0" applyNumberFormat="1" applyFont="1" applyFill="1" applyBorder="1" applyAlignment="1">
      <x:alignment vertical="center" wrapText="1"/>
    </x:xf>
    <x:xf numFmtId="0" fontId="20" fillId="7" borderId="16" xfId="0" applyNumberFormat="1" applyFont="1" applyFill="1" applyBorder="1" applyAlignment="1">
      <x:alignment vertical="center" wrapText="1"/>
    </x:xf>
    <x:xf numFmtId="0" fontId="20" fillId="7" borderId="18" xfId="0" applyNumberFormat="1" applyFont="1" applyFill="1" applyBorder="1" applyAlignment="1">
      <x:alignment vertical="center" wrapText="1"/>
    </x:xf>
    <x:xf numFmtId="0" fontId="20" fillId="7" borderId="19" xfId="0" applyNumberFormat="1" applyFont="1" applyFill="1" applyBorder="1" applyAlignment="1">
      <x:alignment vertical="center" wrapText="1"/>
    </x:xf>
    <x:xf numFmtId="0" fontId="20" fillId="11" borderId="13" xfId="0" applyNumberFormat="1" applyFont="1" applyFill="1" applyBorder="1" applyAlignment="1">
      <x:alignment vertical="center" wrapText="1"/>
    </x:xf>
    <x:xf numFmtId="0" fontId="20" fillId="11" borderId="14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20" fillId="11" borderId="16" xfId="0" applyNumberFormat="1" applyFont="1" applyFill="1" applyBorder="1" applyAlignment="1">
      <x:alignment vertical="center" wrapText="1"/>
    </x:xf>
    <x:xf numFmtId="0" fontId="20" fillId="11" borderId="18" xfId="0" applyNumberFormat="1" applyFont="1" applyFill="1" applyBorder="1" applyAlignment="1">
      <x:alignment vertical="center" wrapText="1"/>
    </x:xf>
    <x:xf numFmtId="0" fontId="20" fillId="11" borderId="19" xfId="0" applyNumberFormat="1" applyFont="1" applyFill="1" applyBorder="1" applyAlignment="1">
      <x:alignment vertical="center" wrapText="1"/>
    </x:xf>
    <x:xf numFmtId="200" fontId="16" fillId="8" borderId="20" xfId="0" applyNumberFormat="1" applyFont="1" applyFill="1" applyBorder="1" applyAlignment="1">
      <x:alignment vertical="center" wrapText="1"/>
    </x:xf>
    <x:xf numFmtId="201" fontId="16" fillId="8" borderId="21" xfId="0" applyNumberFormat="1" applyFont="1" applyFill="1" applyBorder="1" applyAlignment="1">
      <x:alignment vertical="center" wrapText="1"/>
    </x:xf>
    <x:xf numFmtId="202" fontId="16" fillId="8" borderId="21" xfId="0" applyNumberFormat="1" applyFont="1" applyFill="1" applyBorder="1" applyAlignment="1">
      <x:alignment vertical="center" wrapText="1"/>
    </x:xf>
    <x:xf numFmtId="203" fontId="16" fillId="8" borderId="21" xfId="0" applyNumberFormat="1" applyFont="1" applyFill="1" applyBorder="1" applyAlignment="1">
      <x:alignment vertical="center" wrapText="1"/>
    </x:xf>
    <x:xf numFmtId="204" fontId="16" fillId="8" borderId="21" xfId="0" applyNumberFormat="1" applyFont="1" applyFill="1" applyBorder="1" applyAlignment="1">
      <x:alignment vertical="center" wrapText="1"/>
    </x:xf>
    <x:xf numFmtId="205" fontId="16" fillId="8" borderId="21" xfId="0" applyNumberFormat="1" applyFont="1" applyFill="1" applyBorder="1" applyAlignment="1">
      <x:alignment vertical="center" wrapText="1"/>
    </x:xf>
    <x:xf numFmtId="201" fontId="16" fillId="8" borderId="22" xfId="0" applyNumberFormat="1" applyFont="1" applyFill="1" applyBorder="1" applyAlignment="1">
      <x:alignment vertical="center" wrapText="1"/>
    </x:xf>
    <x:xf numFmtId="200" fontId="21" fillId="6" borderId="5" xfId="0" applyNumberFormat="1" applyFont="1" applyFill="1" applyBorder="1" applyAlignment="1">
      <x:alignment vertical="center" wrapText="1"/>
    </x:xf>
    <x:xf numFmtId="200" fontId="21" fillId="6" borderId="0" xfId="0" applyNumberFormat="1" applyFont="1" applyFill="1" applyBorder="1" applyAlignment="1">
      <x:alignment vertical="center" wrapText="1"/>
    </x:xf>
    <x:xf numFmtId="206" fontId="21" fillId="6" borderId="0" xfId="0" applyNumberFormat="1" applyFont="1" applyFill="1" applyBorder="1" applyAlignment="1">
      <x:alignment vertical="center" wrapText="1"/>
    </x:xf>
    <x:xf numFmtId="206" fontId="16" fillId="8" borderId="1" xfId="0" applyNumberFormat="1" applyFont="1" applyFill="1" applyBorder="1" applyAlignment="1">
      <x:alignment vertical="center" wrapText="1"/>
    </x:xf>
    <x:xf numFmtId="206" fontId="16" fillId="8" borderId="3" xfId="0" applyNumberFormat="1" applyFont="1" applyFill="1" applyBorder="1" applyAlignment="1">
      <x:alignment vertical="center" wrapText="1"/>
    </x:xf>
    <x:xf numFmtId="206" fontId="16" fillId="8" borderId="12" xfId="0" applyNumberFormat="1" applyFont="1" applyFill="1" applyBorder="1" applyAlignment="1">
      <x:alignment vertical="center" wrapText="1"/>
    </x:xf>
    <x:xf numFmtId="206" fontId="16" fillId="8" borderId="14" xfId="0" applyNumberFormat="1" applyFont="1" applyFill="1" applyBorder="1" applyAlignment="1">
      <x:alignment vertical="center" wrapText="1"/>
    </x:xf>
    <x:xf numFmtId="207" fontId="16" fillId="8" borderId="15" xfId="0" applyNumberFormat="1" applyFont="1" applyFill="1" applyBorder="1" applyAlignment="1">
      <x:alignment vertical="center" wrapText="1"/>
    </x:xf>
    <x:xf numFmtId="207" fontId="16" fillId="8" borderId="16" xfId="0" applyNumberFormat="1" applyFont="1" applyFill="1" applyBorder="1" applyAlignment="1">
      <x:alignment vertical="center" wrapText="1"/>
    </x:xf>
    <x:xf numFmtId="207" fontId="16" fillId="8" borderId="17" xfId="0" applyNumberFormat="1" applyFont="1" applyFill="1" applyBorder="1" applyAlignment="1">
      <x:alignment vertical="center" wrapText="1"/>
    </x:xf>
    <x:xf numFmtId="207" fontId="16" fillId="8" borderId="19" xfId="0" applyNumberFormat="1" applyFont="1" applyFill="1" applyBorder="1" applyAlignment="1">
      <x:alignment vertical="center" wrapText="1"/>
    </x:xf>
    <x:xf numFmtId="206" fontId="21" fillId="6" borderId="10" xfId="0" applyNumberFormat="1" applyFont="1" applyFill="1" applyBorder="1" applyAlignment="1">
      <x:alignment vertical="center" wrapText="1"/>
    </x:xf>
    <x:xf numFmtId="201" fontId="21" fillId="6" borderId="5" xfId="0" applyNumberFormat="1" applyFont="1" applyFill="1" applyBorder="1" applyAlignment="1">
      <x:alignment vertical="center" wrapText="1"/>
    </x:xf>
    <x:xf numFmtId="201" fontId="21" fillId="6" borderId="0" xfId="0" applyNumberFormat="1" applyFont="1" applyFill="1" applyBorder="1" applyAlignment="1">
      <x:alignment vertical="center" wrapText="1"/>
    </x:xf>
    <x:xf numFmtId="201" fontId="21" fillId="6" borderId="10" xfId="0" applyNumberFormat="1" applyFont="1" applyFill="1" applyBorder="1" applyAlignment="1">
      <x:alignment vertical="center" wrapText="1"/>
    </x:xf>
    <x:xf numFmtId="200" fontId="16" fillId="8" borderId="12" xfId="0" applyNumberFormat="1" applyFont="1" applyFill="1" applyBorder="1" applyAlignment="1">
      <x:alignment vertical="center" wrapText="1"/>
    </x:xf>
    <x:xf numFmtId="200" fontId="16" fillId="8" borderId="13" xfId="0" applyNumberFormat="1" applyFont="1" applyFill="1" applyBorder="1" applyAlignment="1">
      <x:alignment vertical="center" wrapText="1"/>
    </x:xf>
    <x:xf numFmtId="0" fontId="16" fillId="8" borderId="14" xfId="0" applyNumberFormat="1" applyFont="1" applyFill="1" applyBorder="1" applyAlignment="1">
      <x:alignment vertical="center" wrapText="1"/>
    </x:xf>
    <x:xf numFmtId="201" fontId="16" fillId="8" borderId="15" xfId="0" applyNumberFormat="1" applyFont="1" applyFill="1" applyBorder="1" applyAlignment="1">
      <x:alignment vertical="center" wrapText="1"/>
    </x:xf>
    <x:xf numFmtId="201" fontId="16" fillId="8" borderId="0" xfId="0" applyNumberFormat="1" applyFont="1" applyFill="1" applyBorder="1" applyAlignment="1">
      <x:alignment vertical="center" wrapText="1"/>
    </x:xf>
    <x:xf numFmtId="0" fontId="16" fillId="8" borderId="16" xfId="0" applyNumberFormat="1" applyFont="1" applyFill="1" applyBorder="1" applyAlignment="1">
      <x:alignment vertical="center" wrapText="1"/>
    </x:xf>
    <x:xf numFmtId="200" fontId="16" fillId="8" borderId="15" xfId="0" applyNumberFormat="1" applyFont="1" applyFill="1" applyBorder="1" applyAlignment="1">
      <x:alignment vertical="center" wrapText="1"/>
    </x:xf>
    <x:xf numFmtId="200" fontId="16" fillId="8" borderId="0" xfId="0" applyNumberFormat="1" applyFont="1" applyFill="1" applyBorder="1" applyAlignment="1">
      <x:alignment vertical="center" wrapText="1"/>
    </x:xf>
    <x:xf numFmtId="200" fontId="16" fillId="8" borderId="17" xfId="0" applyNumberFormat="1" applyFont="1" applyFill="1" applyBorder="1" applyAlignment="1">
      <x:alignment vertical="center" wrapText="1"/>
    </x:xf>
    <x:xf numFmtId="200" fontId="16" fillId="8" borderId="18" xfId="0" applyNumberFormat="1" applyFont="1" applyFill="1" applyBorder="1" applyAlignment="1">
      <x:alignment vertical="center" wrapText="1"/>
    </x:xf>
    <x:xf numFmtId="0" fontId="16" fillId="8" borderId="19" xfId="0" applyNumberFormat="1" applyFont="1" applyFill="1" applyBorder="1" applyAlignment="1">
      <x:alignment vertical="center" wrapText="1"/>
    </x:xf>
    <x:xf numFmtId="200" fontId="22" fillId="6" borderId="5" xfId="0" applyNumberFormat="1" applyFont="1" applyFill="1" applyBorder="1" applyAlignment="1">
      <x:alignment vertical="center" wrapText="1"/>
    </x:xf>
    <x:xf numFmtId="201" fontId="22" fillId="6" borderId="0" xfId="0" applyNumberFormat="1" applyFont="1" applyFill="1" applyBorder="1" applyAlignment="1">
      <x:alignment vertical="center" wrapText="1"/>
    </x:xf>
    <x:xf numFmtId="202" fontId="22" fillId="6" borderId="0" xfId="0" applyNumberFormat="1" applyFont="1" applyFill="1" applyBorder="1" applyAlignment="1">
      <x:alignment vertical="center" wrapText="1"/>
    </x:xf>
    <x:xf numFmtId="203" fontId="22" fillId="6" borderId="0" xfId="0" applyNumberFormat="1" applyFont="1" applyFill="1" applyBorder="1" applyAlignment="1">
      <x:alignment vertical="center" wrapText="1"/>
    </x:xf>
    <x:xf numFmtId="204" fontId="22" fillId="6" borderId="0" xfId="0" applyNumberFormat="1" applyFont="1" applyFill="1" applyBorder="1" applyAlignment="1">
      <x:alignment vertical="center" wrapText="1"/>
    </x:xf>
    <x:xf numFmtId="205" fontId="22" fillId="6" borderId="0" xfId="0" applyNumberFormat="1" applyFont="1" applyFill="1" applyBorder="1" applyAlignment="1">
      <x:alignment vertical="center" wrapText="1"/>
    </x:xf>
    <x:xf numFmtId="201" fontId="22" fillId="6" borderId="10" xfId="0" applyNumberFormat="1" applyFont="1" applyFill="1" applyBorder="1" applyAlignment="1">
      <x:alignment vertical="center" wrapText="1"/>
    </x:xf>
    <x:xf numFmtId="206" fontId="22" fillId="6" borderId="5" xfId="0" applyNumberFormat="1" applyFont="1" applyFill="1" applyBorder="1" applyAlignment="1">
      <x:alignment vertical="center" wrapText="1"/>
    </x:xf>
    <x:xf numFmtId="201" fontId="22" fillId="6" borderId="6" xfId="0" applyNumberFormat="1" applyFont="1" applyFill="1" applyBorder="1" applyAlignment="1">
      <x:alignment vertical="center" wrapText="1"/>
    </x:xf>
    <x:xf numFmtId="200" fontId="22" fillId="6" borderId="0" xfId="0" applyNumberFormat="1" applyFont="1" applyFill="1" applyBorder="1" applyAlignment="1">
      <x:alignment vertical="center" wrapText="1"/>
    </x:xf>
    <x:xf numFmtId="206" fontId="22" fillId="6" borderId="0" xfId="0" applyNumberFormat="1" applyFont="1" applyFill="1" applyBorder="1" applyAlignment="1">
      <x:alignment vertical="center" wrapText="1"/>
    </x:xf>
    <x:xf numFmtId="201" fontId="22" fillId="6" borderId="8" xfId="0" applyNumberFormat="1" applyFont="1" applyFill="1" applyBorder="1" applyAlignment="1">
      <x:alignment vertical="center" wrapText="1"/>
    </x:xf>
    <x:xf numFmtId="200" fontId="22" fillId="6" borderId="10" xfId="0" applyNumberFormat="1" applyFont="1" applyFill="1" applyBorder="1" applyAlignment="1">
      <x:alignment vertical="center" wrapText="1"/>
    </x:xf>
    <x:xf numFmtId="206" fontId="22" fillId="6" borderId="10" xfId="0" applyNumberFormat="1" applyFont="1" applyFill="1" applyBorder="1" applyAlignment="1">
      <x:alignment vertical="center" wrapText="1"/>
    </x:xf>
    <x:xf numFmtId="201" fontId="22" fillId="6" borderId="11" xfId="0" applyNumberFormat="1" applyFont="1" applyFill="1" applyBorder="1" applyAlignment="1">
      <x:alignment vertical="center" wrapText="1"/>
    </x:xf>
    <x:xf numFmtId="201" fontId="22" fillId="6" borderId="5" xfId="0" applyNumberFormat="1" applyFont="1" applyFill="1" applyBorder="1" applyAlignment="1">
      <x:alignment vertical="center" wrapText="1"/>
    </x:xf>
    <x:xf numFmtId="201" fontId="22" fillId="0" borderId="0" xfId="0" applyNumberFormat="1" applyFont="1" applyFill="1" applyBorder="1" applyAlignment="1">
      <x:alignment vertical="center" wrapText="1"/>
    </x:xf>
    <x:xf numFmtId="201" fontId="17" fillId="8" borderId="2" xfId="0" applyNumberFormat="1" applyFont="1" applyFill="1" applyBorder="1" applyAlignment="1">
      <x:alignment vertical="center" wrapText="1"/>
    </x:xf>
    <x:xf numFmtId="200" fontId="22" fillId="0" borderId="0" xfId="0" applyNumberFormat="1" applyFont="1" applyFill="1" applyBorder="1" applyAlignment="1">
      <x:alignment vertical="center" wrapText="1"/>
    </x:xf>
    <x:xf numFmtId="200" fontId="17" fillId="8" borderId="2" xfId="0" applyNumberFormat="1" applyFont="1" applyFill="1" applyBorder="1" applyAlignment="1">
      <x:alignment vertical="center" wrapText="1"/>
    </x:xf>
    <x:xf numFmtId="206" fontId="22" fillId="6" borderId="6" xfId="0" applyNumberFormat="1" applyFont="1" applyFill="1" applyBorder="1" applyAlignment="1">
      <x:alignment vertical="center" wrapText="1"/>
    </x:xf>
    <x:xf numFmtId="206" fontId="22" fillId="6" borderId="8" xfId="0" applyNumberFormat="1" applyFont="1" applyFill="1" applyBorder="1" applyAlignment="1">
      <x:alignment vertical="center" wrapText="1"/>
    </x:xf>
    <x:xf numFmtId="206" fontId="22" fillId="6" borderId="11" xfId="0" applyNumberFormat="1" applyFont="1" applyFill="1" applyBorder="1" applyAlignment="1">
      <x:alignment vertical="center" wrapText="1"/>
    </x:xf>
    <x:xf numFmtId="206" fontId="22" fillId="0" borderId="0" xfId="0" applyNumberFormat="1" applyFont="1" applyFill="1" applyBorder="1" applyAlignment="1">
      <x:alignment vertical="center" wrapText="1"/>
    </x:xf>
    <x:xf numFmtId="206" fontId="17" fillId="8" borderId="2" xfId="0" applyNumberFormat="1" applyFont="1" applyFill="1" applyBorder="1" applyAlignment="1">
      <x:alignment vertical="center" wrapText="1"/>
    </x:xf>
    <x:xf numFmtId="206" fontId="17" fillId="8" borderId="3" xfId="0" applyNumberFormat="1" applyFont="1" applyFill="1" applyBorder="1" applyAlignment="1">
      <x:alignment vertical="center" wrapText="1"/>
    </x:xf>
    <x:xf numFmtId="200" fontId="22" fillId="6" borderId="6" xfId="0" applyNumberFormat="1" applyFont="1" applyFill="1" applyBorder="1" applyAlignment="1">
      <x:alignment vertical="center" wrapText="1"/>
    </x:xf>
    <x:xf numFmtId="200" fontId="22" fillId="6" borderId="8" xfId="0" applyNumberFormat="1" applyFont="1" applyFill="1" applyBorder="1" applyAlignment="1">
      <x:alignment vertical="center" wrapText="1"/>
    </x:xf>
    <x:xf numFmtId="206" fontId="17" fillId="8" borderId="1" xfId="0" applyNumberFormat="1" applyFont="1" applyFill="1" applyBorder="1" applyAlignment="1">
      <x:alignment vertical="center" wrapText="1"/>
    </x:xf>
    <x:xf numFmtId="206" fontId="17" fillId="8" borderId="12" xfId="0" applyNumberFormat="1" applyFont="1" applyFill="1" applyBorder="1" applyAlignment="1">
      <x:alignment vertical="center" wrapText="1"/>
    </x:xf>
    <x:xf numFmtId="206" fontId="17" fillId="8" borderId="13" xfId="0" applyNumberFormat="1" applyFont="1" applyFill="1" applyBorder="1" applyAlignment="1">
      <x:alignment vertical="center" wrapText="1"/>
    </x:xf>
    <x:xf numFmtId="206" fontId="17" fillId="8" borderId="14" xfId="0" applyNumberFormat="1" applyFont="1" applyFill="1" applyBorder="1" applyAlignment="1">
      <x:alignment vertical="center" wrapText="1"/>
    </x:xf>
    <x:xf numFmtId="207" fontId="17" fillId="8" borderId="17" xfId="0" applyNumberFormat="1" applyFont="1" applyFill="1" applyBorder="1" applyAlignment="1">
      <x:alignment vertical="center" wrapText="1"/>
    </x:xf>
    <x:xf numFmtId="207" fontId="17" fillId="8" borderId="18" xfId="0" applyNumberFormat="1" applyFont="1" applyFill="1" applyBorder="1" applyAlignment="1">
      <x:alignment vertical="center" wrapText="1"/>
    </x:xf>
    <x:xf numFmtId="207" fontId="17" fillId="8" borderId="19" xfId="0" applyNumberFormat="1" applyFont="1" applyFill="1" applyBorder="1" applyAlignment="1">
      <x:alignment vertical="center" wrapText="1"/>
    </x:xf>
    <x:xf numFmtId="0" fontId="22" fillId="6" borderId="5" xfId="0" applyNumberFormat="1" applyFont="1" applyFill="1" applyBorder="1" applyAlignment="1">
      <x:alignment vertical="center" wrapText="1"/>
    </x:xf>
    <x:xf numFmtId="0" fontId="22" fillId="6" borderId="0" xfId="0" applyNumberFormat="1" applyFont="1" applyFill="1" applyBorder="1" applyAlignment="1">
      <x:alignment vertical="center" wrapText="1"/>
    </x:xf>
    <x:xf numFmtId="0" fontId="22" fillId="6" borderId="10" xfId="0" applyNumberFormat="1" applyFont="1" applyFill="1" applyBorder="1" applyAlignment="1">
      <x:alignment vertical="center" wrapText="1"/>
    </x:xf>
    <x:xf numFmtId="209" fontId="22" fillId="6" borderId="5" xfId="0" applyNumberFormat="1" applyFont="1" applyFill="1" applyBorder="1" applyAlignment="1">
      <x:alignment vertical="center" wrapText="1"/>
    </x:xf>
    <x:xf numFmtId="209" fontId="22" fillId="6" borderId="0" xfId="0" applyNumberFormat="1" applyFont="1" applyFill="1" applyBorder="1" applyAlignment="1">
      <x:alignment vertical="center" wrapText="1"/>
    </x:xf>
    <x:xf numFmtId="209" fontId="22" fillId="6" borderId="10" xfId="0" applyNumberFormat="1" applyFont="1" applyFill="1" applyBorder="1" applyAlignment="1">
      <x:alignment vertical="center" wrapText="1"/>
    </x:xf>
    <x:xf numFmtId="0" fontId="17" fillId="8" borderId="3" xfId="0" applyNumberFormat="1" applyFont="1" applyFill="1" applyBorder="1" applyAlignment="1">
      <x:alignment vertical="center" wrapText="1"/>
    </x:xf>
    <x:xf numFmtId="0" fontId="23" fillId="6" borderId="6" xfId="0" applyNumberFormat="1" applyFont="1" applyFill="1" applyBorder="1" applyAlignment="1">
      <x:alignment vertical="center" wrapText="1"/>
    </x:xf>
    <x:xf numFmtId="0" fontId="23" fillId="6" borderId="8" xfId="0" applyNumberFormat="1" applyFont="1" applyFill="1" applyBorder="1" applyAlignment="1">
      <x:alignment vertical="center" wrapText="1"/>
    </x:xf>
    <x:xf numFmtId="0" fontId="23" fillId="6" borderId="11" xfId="0" applyNumberFormat="1" applyFont="1" applyFill="1" applyBorder="1" applyAlignment="1">
      <x:alignment vertical="center" wrapText="1"/>
    </x:xf>
    <x:xf numFmtId="0" fontId="23" fillId="6" borderId="4" xfId="0" applyNumberFormat="1" applyFont="1" applyFill="1" applyBorder="1" applyAlignment="1">
      <x:alignment vertical="center" wrapText="1"/>
    </x:xf>
    <x:xf numFmtId="0" fontId="23" fillId="6" borderId="7" xfId="0" applyNumberFormat="1" applyFont="1" applyFill="1" applyBorder="1" applyAlignment="1">
      <x:alignment vertical="center" wrapText="1"/>
    </x:xf>
    <x:xf numFmtId="0" fontId="23" fillId="6" borderId="9" xfId="0" applyNumberFormat="1" applyFont="1" applyFill="1" applyBorder="1" applyAlignment="1">
      <x:alignment vertical="center" wrapText="1"/>
    </x:xf>
    <x:xf numFmtId="0" fontId="14" fillId="2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/>
    <x:xf numFmtId="0" fontId="24" fillId="3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 applyAlignment="1">
      <x:alignment vertical="center" wrapText="1"/>
    </x:xf>
    <x:xf numFmtId="0" fontId="20" fillId="12" borderId="20" xfId="0" applyNumberFormat="1" applyFont="1" applyFill="1" applyBorder="1" applyAlignment="1">
      <x:alignment vertical="center" wrapText="1"/>
    </x:xf>
    <x:xf numFmtId="0" fontId="20" fillId="12" borderId="21" xfId="0" applyNumberFormat="1" applyFont="1" applyFill="1" applyBorder="1" applyAlignment="1">
      <x:alignment vertical="center" wrapText="1"/>
    </x:xf>
    <x:xf numFmtId="0" fontId="20" fillId="12" borderId="22" xfId="0" applyNumberFormat="1" applyFont="1" applyFill="1" applyBorder="1" applyAlignment="1">
      <x:alignment vertical="center" wrapText="1"/>
    </x:xf>
    <x:xf numFmtId="200" fontId="22" fillId="13" borderId="5" xfId="0" applyNumberFormat="1" applyFont="1" applyFill="1" applyBorder="1" applyAlignment="1">
      <x:alignment vertical="center" wrapText="1"/>
    </x:xf>
    <x:xf numFmtId="201" fontId="22" fillId="13" borderId="0" xfId="0" applyNumberFormat="1" applyFont="1" applyFill="1" applyBorder="1" applyAlignment="1">
      <x:alignment vertical="center" wrapText="1"/>
    </x:xf>
    <x:xf numFmtId="202" fontId="22" fillId="13" borderId="0" xfId="0" applyNumberFormat="1" applyFont="1" applyFill="1" applyBorder="1" applyAlignment="1">
      <x:alignment vertical="center" wrapText="1"/>
    </x:xf>
    <x:xf numFmtId="203" fontId="22" fillId="13" borderId="0" xfId="0" applyNumberFormat="1" applyFont="1" applyFill="1" applyBorder="1" applyAlignment="1">
      <x:alignment vertical="center" wrapText="1"/>
    </x:xf>
    <x:xf numFmtId="204" fontId="22" fillId="13" borderId="0" xfId="0" applyNumberFormat="1" applyFont="1" applyFill="1" applyBorder="1" applyAlignment="1">
      <x:alignment vertical="center" wrapText="1"/>
    </x:xf>
    <x:xf numFmtId="205" fontId="22" fillId="13" borderId="0" xfId="0" applyNumberFormat="1" applyFont="1" applyFill="1" applyBorder="1" applyAlignment="1">
      <x:alignment vertical="center" wrapText="1"/>
    </x:xf>
    <x:xf numFmtId="201" fontId="22" fillId="13" borderId="10" xfId="0" applyNumberFormat="1" applyFont="1" applyFill="1" applyBorder="1" applyAlignment="1">
      <x:alignment vertical="center" wrapText="1"/>
    </x:xf>
    <x:xf numFmtId="0" fontId="23" fillId="14" borderId="6" xfId="0" applyNumberFormat="1" applyFont="1" applyFill="1" applyBorder="1" applyAlignment="1">
      <x:alignment vertical="center" wrapText="1"/>
    </x:xf>
    <x:xf numFmtId="0" fontId="23" fillId="14" borderId="8" xfId="0" applyNumberFormat="1" applyFont="1" applyFill="1" applyBorder="1" applyAlignment="1">
      <x:alignment vertical="center" wrapText="1"/>
    </x:xf>
    <x:xf numFmtId="0" fontId="23" fillId="14" borderId="11" xfId="0" applyNumberFormat="1" applyFont="1" applyFill="1" applyBorder="1" applyAlignment="1">
      <x:alignment vertical="center" wrapText="1"/>
    </x:xf>
    <x:xf numFmtId="0" fontId="23" fillId="14" borderId="4" xfId="0" applyNumberFormat="1" applyFont="1" applyFill="1" applyBorder="1" applyAlignment="1">
      <x:alignment vertical="center" wrapText="1"/>
    </x:xf>
    <x:xf numFmtId="0" fontId="23" fillId="14" borderId="7" xfId="0" applyNumberFormat="1" applyFont="1" applyFill="1" applyBorder="1" applyAlignment="1">
      <x:alignment vertical="center" wrapText="1"/>
    </x:xf>
    <x:xf numFmtId="0" fontId="23" fillId="14" borderId="9" xfId="0" applyNumberFormat="1" applyFont="1" applyFill="1" applyBorder="1" applyAlignment="1">
      <x:alignment vertical="center" wrapText="1"/>
    </x:xf>
    <x:xf numFmtId="0" fontId="20" fillId="12" borderId="31" xfId="0" applyNumberFormat="1" applyFont="1" applyFill="1" applyBorder="1" applyAlignment="1">
      <x:alignment vertical="center" wrapText="1"/>
    </x:xf>
    <x:xf numFmtId="0" fontId="20" fillId="12" borderId="32" xfId="0" applyNumberFormat="1" applyFont="1" applyFill="1" applyBorder="1" applyAlignment="1">
      <x:alignment vertical="center" wrapText="1"/>
    </x:xf>
    <x:xf numFmtId="0" fontId="20" fillId="12" borderId="33" xfId="0" applyNumberFormat="1" applyFont="1" applyFill="1" applyBorder="1" applyAlignment="1">
      <x:alignment vertical="center" wrapText="1"/>
    </x:xf>
    <x:xf numFmtId="200" fontId="22" fillId="13" borderId="34" xfId="0" applyNumberFormat="1" applyFont="1" applyFill="1" applyBorder="1" applyAlignment="1">
      <x:alignment vertical="center" wrapText="1"/>
    </x:xf>
    <x:xf numFmtId="200" fontId="20" fillId="11" borderId="35" xfId="0" applyNumberFormat="1" applyFont="1" applyFill="1" applyBorder="1" applyAlignment="1">
      <x:alignment vertical="center" wrapText="1"/>
    </x:xf>
    <x:xf numFmtId="200" fontId="16" fillId="8" borderId="35" xfId="0" applyNumberFormat="1" applyFont="1" applyFill="1" applyBorder="1" applyAlignment="1">
      <x:alignment vertical="center" wrapText="1"/>
    </x:xf>
    <x:xf numFmtId="0" fontId="11" fillId="6" borderId="36" xfId="0" applyNumberFormat="1" applyFont="1" applyFill="1" applyBorder="1" applyAlignment="1">
      <x:alignment vertical="center" wrapText="1"/>
    </x:xf>
    <x:xf numFmtId="0" fontId="23" fillId="14" borderId="37" xfId="0" applyNumberFormat="1" applyFont="1" applyFill="1" applyBorder="1" applyAlignment="1">
      <x:alignment vertical="center" wrapText="1"/>
    </x:xf>
    <x:xf numFmtId="201" fontId="22" fillId="13" borderId="38" xfId="0" applyNumberFormat="1" applyFont="1" applyFill="1" applyBorder="1" applyAlignment="1">
      <x:alignment vertical="center" wrapText="1"/>
    </x:xf>
    <x:xf numFmtId="0" fontId="11" fillId="6" xfId="0" applyNumberFormat="1" applyFont="1" applyFill="1" applyBorder="0" applyAlignment="1">
      <x:alignment vertical="center" wrapText="1"/>
    </x:xf>
    <x:xf numFmtId="0" fontId="23" fillId="14" borderId="39" xfId="0" applyNumberFormat="1" applyFont="1" applyFill="1" applyBorder="1" applyAlignment="1">
      <x:alignment vertical="center" wrapText="1"/>
    </x:xf>
    <x:xf numFmtId="202" fontId="22" fillId="13" borderId="38" xfId="0" applyNumberFormat="1" applyFont="1" applyFill="1" applyBorder="1" applyAlignment="1">
      <x:alignment vertical="center" wrapText="1"/>
    </x:xf>
    <x:xf numFmtId="203" fontId="22" fillId="13" borderId="38" xfId="0" applyNumberFormat="1" applyFont="1" applyFill="1" applyBorder="1" applyAlignment="1">
      <x:alignment vertical="center" wrapText="1"/>
    </x:xf>
    <x:xf numFmtId="204" fontId="22" fillId="13" borderId="38" xfId="0" applyNumberFormat="1" applyFont="1" applyFill="1" applyBorder="1" applyAlignment="1">
      <x:alignment vertical="center" wrapText="1"/>
    </x:xf>
    <x:xf numFmtId="205" fontId="22" fillId="13" borderId="38" xfId="0" applyNumberFormat="1" applyFont="1" applyFill="1" applyBorder="1" applyAlignment="1">
      <x:alignment vertical="center" wrapText="1"/>
    </x:xf>
    <x:xf numFmtId="201" fontId="22" fillId="13" borderId="40" xfId="0" applyNumberFormat="1" applyFont="1" applyFill="1" applyBorder="1" applyAlignment="1">
      <x:alignment vertical="center" wrapText="1"/>
    </x:xf>
    <x:xf numFmtId="201" fontId="20" fillId="11" borderId="41" xfId="0" applyNumberFormat="1" applyFont="1" applyFill="1" applyBorder="1" applyAlignment="1">
      <x:alignment vertical="center" wrapText="1"/>
    </x:xf>
    <x:xf numFmtId="201" fontId="16" fillId="8" borderId="41" xfId="0" applyNumberFormat="1" applyFont="1" applyFill="1" applyBorder="1" applyAlignment="1">
      <x:alignment vertical="center" wrapText="1"/>
    </x:xf>
    <x:xf numFmtId="0" fontId="11" fillId="6" borderId="42" xfId="0" applyNumberFormat="1" applyFont="1" applyFill="1" applyBorder="1" applyAlignment="1">
      <x:alignment vertical="center" wrapText="1"/>
    </x:xf>
    <x:xf numFmtId="0" fontId="23" fillId="14" borderId="43" xfId="0" applyNumberFormat="1" applyFont="1" applyFill="1" applyBorder="1" applyAlignment="1">
      <x:alignment vertical="center" wrapText="1"/>
    </x:xf>
    <x:xf numFmtId="200" fontId="21" fillId="6" borderId="34" xfId="0" applyNumberFormat="1" applyFont="1" applyFill="1" applyBorder="1" applyAlignment="1">
      <x:alignment vertical="center" wrapText="1"/>
    </x:xf>
    <x:xf numFmtId="200" fontId="21" fillId="6" borderId="37" xfId="0" applyNumberFormat="1" applyFont="1" applyFill="1" applyBorder="1" applyAlignment="1">
      <x:alignment vertical="center" wrapText="1"/>
    </x:xf>
    <x:xf numFmtId="200" fontId="21" fillId="6" borderId="38" xfId="0" applyNumberFormat="1" applyFont="1" applyFill="1" applyBorder="1" applyAlignment="1">
      <x:alignment vertical="center" wrapText="1"/>
    </x:xf>
    <x:xf numFmtId="200" fontId="21" fillId="6" borderId="39" xfId="0" applyNumberFormat="1" applyFont="1" applyFill="1" applyBorder="1" applyAlignment="1">
      <x:alignment vertical="center" wrapText="1"/>
    </x:xf>
    <x:xf numFmtId="206" fontId="21" fillId="6" borderId="38" xfId="0" applyNumberFormat="1" applyFont="1" applyFill="1" applyBorder="1" applyAlignment="1">
      <x:alignment vertical="center" wrapText="1"/>
    </x:xf>
    <x:xf numFmtId="206" fontId="21" fillId="6" borderId="39" xfId="0" applyNumberFormat="1" applyFont="1" applyFill="1" applyBorder="1" applyAlignment="1">
      <x:alignment vertical="center" wrapText="1"/>
    </x:xf>
    <x:xf numFmtId="206" fontId="16" fillId="8" borderId="44" xfId="0" applyNumberFormat="1" applyFont="1" applyFill="1" applyBorder="1" applyAlignment="1">
      <x:alignment vertical="center" wrapText="1"/>
    </x:xf>
    <x:xf numFmtId="206" fontId="16" fillId="8" borderId="45" xfId="0" applyNumberFormat="1" applyFont="1" applyFill="1" applyBorder="1" applyAlignment="1">
      <x:alignment vertical="center" wrapText="1"/>
    </x:xf>
    <x:xf numFmtId="206" fontId="16" fillId="8" borderId="46" xfId="0" applyNumberFormat="1" applyFont="1" applyFill="1" applyBorder="1" applyAlignment="1">
      <x:alignment vertical="center" wrapText="1"/>
    </x:xf>
    <x:xf numFmtId="206" fontId="16" fillId="8" borderId="47" xfId="0" applyNumberFormat="1" applyFont="1" applyFill="1" applyBorder="1" applyAlignment="1">
      <x:alignment vertical="center" wrapText="1"/>
    </x:xf>
    <x:xf numFmtId="207" fontId="16" fillId="8" borderId="38" xfId="0" applyNumberFormat="1" applyFont="1" applyFill="1" applyBorder="1" applyAlignment="1">
      <x:alignment vertical="center" wrapText="1"/>
    </x:xf>
    <x:xf numFmtId="207" fontId="16" fillId="8" borderId="39" xfId="0" applyNumberFormat="1" applyFont="1" applyFill="1" applyBorder="1" applyAlignment="1">
      <x:alignment vertical="center" wrapText="1"/>
    </x:xf>
    <x:xf numFmtId="207" fontId="16" fillId="8" borderId="48" xfId="0" applyNumberFormat="1" applyFont="1" applyFill="1" applyBorder="1" applyAlignment="1">
      <x:alignment vertical="center" wrapText="1"/>
    </x:xf>
    <x:xf numFmtId="207" fontId="16" fillId="8" borderId="49" xfId="0" applyNumberFormat="1" applyFont="1" applyFill="1" applyBorder="1" applyAlignment="1">
      <x:alignment vertical="center" wrapText="1"/>
    </x:xf>
    <x:xf numFmtId="206" fontId="21" fillId="6" borderId="40" xfId="0" applyNumberFormat="1" applyFont="1" applyFill="1" applyBorder="1" applyAlignment="1">
      <x:alignment vertical="center" wrapText="1"/>
    </x:xf>
    <x:xf numFmtId="206" fontId="21" fillId="6" borderId="43" xfId="0" applyNumberFormat="1" applyFont="1" applyFill="1" applyBorder="1" applyAlignment="1">
      <x:alignment vertical="center" wrapText="1"/>
    </x:xf>
    <x:xf numFmtId="200" fontId="20" fillId="11" borderId="34" xfId="0" applyNumberFormat="1" applyFont="1" applyFill="1" applyBorder="1" applyAlignment="1">
      <x:alignment vertical="center" wrapText="1"/>
    </x:xf>
    <x:xf numFmtId="201" fontId="20" fillId="11" borderId="36" xfId="0" applyNumberFormat="1" applyFont="1" applyFill="1" applyBorder="1" applyAlignment="1">
      <x:alignment vertical="center" wrapText="1"/>
    </x:xf>
    <x:xf numFmtId="202" fontId="20" fillId="11" borderId="36" xfId="0" applyNumberFormat="1" applyFont="1" applyFill="1" applyBorder="1" applyAlignment="1">
      <x:alignment vertical="center" wrapText="1"/>
    </x:xf>
    <x:xf numFmtId="203" fontId="20" fillId="11" borderId="36" xfId="0" applyNumberFormat="1" applyFont="1" applyFill="1" applyBorder="1" applyAlignment="1">
      <x:alignment vertical="center" wrapText="1"/>
    </x:xf>
    <x:xf numFmtId="204" fontId="20" fillId="11" borderId="36" xfId="0" applyNumberFormat="1" applyFont="1" applyFill="1" applyBorder="1" applyAlignment="1">
      <x:alignment vertical="center" wrapText="1"/>
    </x:xf>
    <x:xf numFmtId="205" fontId="20" fillId="11" borderId="36" xfId="0" applyNumberFormat="1" applyFont="1" applyFill="1" applyBorder="1" applyAlignment="1">
      <x:alignment vertical="center" wrapText="1"/>
    </x:xf>
    <x:xf numFmtId="201" fontId="20" fillId="11" borderId="50" xfId="0" applyNumberFormat="1" applyFont="1" applyFill="1" applyBorder="1" applyAlignment="1">
      <x:alignment vertical="center" wrapText="1"/>
    </x:xf>
    <x:xf numFmtId="200" fontId="20" fillId="11" borderId="38" xfId="0" applyNumberFormat="1" applyFont="1" applyFill="1" applyBorder="1" applyAlignment="1">
      <x:alignment vertical="center" wrapText="1"/>
    </x:xf>
    <x:xf numFmtId="201" fontId="20" fillId="11" xfId="0" applyNumberFormat="1" applyFont="1" applyFill="1" applyBorder="0" applyAlignment="1">
      <x:alignment vertical="center" wrapText="1"/>
    </x:xf>
    <x:xf numFmtId="202" fontId="20" fillId="11" xfId="0" applyNumberFormat="1" applyFont="1" applyFill="1" applyBorder="0" applyAlignment="1">
      <x:alignment vertical="center" wrapText="1"/>
    </x:xf>
    <x:xf numFmtId="203" fontId="20" fillId="11" xfId="0" applyNumberFormat="1" applyFont="1" applyFill="1" applyBorder="0" applyAlignment="1">
      <x:alignment vertical="center" wrapText="1"/>
    </x:xf>
    <x:xf numFmtId="204" fontId="20" fillId="11" xfId="0" applyNumberFormat="1" applyFont="1" applyFill="1" applyBorder="0" applyAlignment="1">
      <x:alignment vertical="center" wrapText="1"/>
    </x:xf>
    <x:xf numFmtId="205" fontId="20" fillId="11" xfId="0" applyNumberFormat="1" applyFont="1" applyFill="1" applyBorder="0" applyAlignment="1">
      <x:alignment vertical="center" wrapText="1"/>
    </x:xf>
    <x:xf numFmtId="200" fontId="20" fillId="11" borderId="40" xfId="0" applyNumberFormat="1" applyFont="1" applyFill="1" applyBorder="1" applyAlignment="1">
      <x:alignment vertical="center" wrapText="1"/>
    </x:xf>
    <x:xf numFmtId="201" fontId="20" fillId="11" borderId="42" xfId="0" applyNumberFormat="1" applyFont="1" applyFill="1" applyBorder="1" applyAlignment="1">
      <x:alignment vertical="center" wrapText="1"/>
    </x:xf>
    <x:xf numFmtId="202" fontId="20" fillId="11" borderId="42" xfId="0" applyNumberFormat="1" applyFont="1" applyFill="1" applyBorder="1" applyAlignment="1">
      <x:alignment vertical="center" wrapText="1"/>
    </x:xf>
    <x:xf numFmtId="203" fontId="20" fillId="11" borderId="42" xfId="0" applyNumberFormat="1" applyFont="1" applyFill="1" applyBorder="1" applyAlignment="1">
      <x:alignment vertical="center" wrapText="1"/>
    </x:xf>
    <x:xf numFmtId="204" fontId="20" fillId="11" borderId="42" xfId="0" applyNumberFormat="1" applyFont="1" applyFill="1" applyBorder="1" applyAlignment="1">
      <x:alignment vertical="center" wrapText="1"/>
    </x:xf>
    <x:xf numFmtId="205" fontId="20" fillId="11" borderId="42" xfId="0" applyNumberFormat="1" applyFont="1" applyFill="1" applyBorder="1" applyAlignment="1">
      <x:alignment vertical="center" wrapText="1"/>
    </x:xf>
    <x:xf numFmtId="201" fontId="20" fillId="11" borderId="51" xfId="0" applyNumberFormat="1" applyFont="1" applyFill="1" applyBorder="1" applyAlignment="1">
      <x:alignment vertical="center" wrapText="1"/>
    </x:xf>
    <x:xf numFmtId="201" fontId="22" fillId="6" borderId="34" xfId="0" applyNumberFormat="1" applyFont="1" applyFill="1" applyBorder="1" applyAlignment="1">
      <x:alignment vertical="center" wrapText="1"/>
    </x:xf>
    <x:xf numFmtId="201" fontId="20" fillId="11" borderId="35" xfId="0" applyNumberFormat="1" applyFont="1" applyFill="1" applyBorder="1" applyAlignment="1">
      <x:alignment vertical="center" wrapText="1"/>
    </x:xf>
    <x:xf numFmtId="201" fontId="22" fillId="6" borderId="36" xfId="0" applyNumberFormat="1" applyFont="1" applyFill="1" applyBorder="1" applyAlignment="1">
      <x:alignment vertical="center" wrapText="1"/>
    </x:xf>
    <x:xf numFmtId="200" fontId="22" fillId="6" borderId="36" xfId="0" applyNumberFormat="1" applyFont="1" applyFill="1" applyBorder="1" applyAlignment="1">
      <x:alignment vertical="center" wrapText="1"/>
    </x:xf>
    <x:xf numFmtId="208" fontId="20" fillId="11" borderId="35" xfId="0" applyNumberFormat="1" applyFont="1" applyFill="1" applyBorder="1" applyAlignment="1">
      <x:alignment vertical="center" wrapText="1"/>
    </x:xf>
    <x:xf numFmtId="206" fontId="22" fillId="6" borderId="36" xfId="0" applyNumberFormat="1" applyFont="1" applyFill="1" applyBorder="1" applyAlignment="1">
      <x:alignment vertical="center" wrapText="1"/>
    </x:xf>
    <x:xf numFmtId="206" fontId="22" fillId="6" borderId="37" xfId="0" applyNumberFormat="1" applyFont="1" applyFill="1" applyBorder="1" applyAlignment="1">
      <x:alignment vertical="center" wrapText="1"/>
    </x:xf>
    <x:xf numFmtId="201" fontId="22" fillId="6" borderId="38" xfId="0" applyNumberFormat="1" applyFont="1" applyFill="1" applyBorder="1" applyAlignment="1">
      <x:alignment vertical="center" wrapText="1"/>
    </x:xf>
    <x:xf numFmtId="201" fontId="22" fillId="6" xfId="0" applyNumberFormat="1" applyFont="1" applyFill="1" applyBorder="0" applyAlignment="1">
      <x:alignment vertical="center" wrapText="1"/>
    </x:xf>
    <x:xf numFmtId="200" fontId="22" fillId="6" xfId="0" applyNumberFormat="1" applyFont="1" applyFill="1" applyBorder="0" applyAlignment="1">
      <x:alignment vertical="center" wrapText="1"/>
    </x:xf>
    <x:xf numFmtId="206" fontId="22" fillId="6" xfId="0" applyNumberFormat="1" applyFont="1" applyFill="1" applyBorder="0" applyAlignment="1">
      <x:alignment vertical="center" wrapText="1"/>
    </x:xf>
    <x:xf numFmtId="206" fontId="22" fillId="6" borderId="39" xfId="0" applyNumberFormat="1" applyFont="1" applyFill="1" applyBorder="1" applyAlignment="1">
      <x:alignment vertical="center" wrapText="1"/>
    </x:xf>
    <x:xf numFmtId="201" fontId="22" fillId="6" borderId="52" xfId="0" applyNumberFormat="1" applyFont="1" applyFill="1" applyBorder="1" applyAlignment="1">
      <x:alignment vertical="center" wrapText="1"/>
    </x:xf>
    <x:xf numFmtId="206" fontId="22" fillId="6" borderId="53" xfId="0" applyNumberFormat="1" applyFont="1" applyFill="1" applyBorder="1" applyAlignment="1">
      <x:alignment vertical="center" wrapText="1"/>
    </x:xf>
    <x:xf numFmtId="201" fontId="22" fillId="0" borderId="38" xfId="0" applyNumberFormat="1" applyFont="1" applyFill="1" applyBorder="1" applyAlignment="1">
      <x:alignment vertical="center" wrapText="1"/>
    </x:xf>
    <x:xf numFmtId="201" fontId="11" fillId="0" xfId="0" applyNumberFormat="1" applyFont="1" applyFill="1" applyBorder="0" applyAlignment="1">
      <x:alignment vertical="center" wrapText="1"/>
    </x:xf>
    <x:xf numFmtId="201" fontId="22" fillId="0" xfId="0" applyNumberFormat="1" applyFont="1" applyFill="1" applyBorder="0" applyAlignment="1">
      <x:alignment vertical="center" wrapText="1"/>
    </x:xf>
    <x:xf numFmtId="200" fontId="22" fillId="0" xfId="0" applyNumberFormat="1" applyFont="1" applyFill="1" applyBorder="0" applyAlignment="1">
      <x:alignment vertical="center" wrapText="1"/>
    </x:xf>
    <x:xf numFmtId="200" fontId="11" fillId="0" xfId="0" applyNumberFormat="1" applyFont="1" applyFill="1" applyBorder="0" applyAlignment="1">
      <x:alignment vertical="center" wrapText="1"/>
    </x:xf>
    <x:xf numFmtId="0" fontId="11" fillId="0" xfId="0" applyNumberFormat="1" applyFont="1" applyFill="1" applyBorder="0" applyAlignment="1">
      <x:alignment vertical="center" wrapText="1"/>
    </x:xf>
    <x:xf numFmtId="206" fontId="22" fillId="0" xfId="0" applyNumberFormat="1" applyFont="1" applyFill="1" applyBorder="0" applyAlignment="1">
      <x:alignment vertical="center" wrapText="1"/>
    </x:xf>
    <x:xf numFmtId="206" fontId="22" fillId="0" borderId="39" xfId="0" applyNumberFormat="1" applyFont="1" applyFill="1" applyBorder="1" applyAlignment="1">
      <x:alignment vertical="center" wrapText="1"/>
    </x:xf>
    <x:xf numFmtId="201" fontId="17" fillId="8" borderId="54" xfId="0" applyNumberFormat="1" applyFont="1" applyFill="1" applyBorder="1" applyAlignment="1">
      <x:alignment vertical="center" wrapText="1"/>
    </x:xf>
    <x:xf numFmtId="201" fontId="9" fillId="8" borderId="55" xfId="0" applyNumberFormat="1" applyFont="1" applyFill="1" applyBorder="1" applyAlignment="1">
      <x:alignment vertical="center" wrapText="1"/>
    </x:xf>
    <x:xf numFmtId="201" fontId="17" fillId="8" borderId="55" xfId="0" applyNumberFormat="1" applyFont="1" applyFill="1" applyBorder="1" applyAlignment="1">
      <x:alignment vertical="center" wrapText="1"/>
    </x:xf>
    <x:xf numFmtId="200" fontId="17" fillId="8" borderId="55" xfId="0" applyNumberFormat="1" applyFont="1" applyFill="1" applyBorder="1" applyAlignment="1">
      <x:alignment vertical="center" wrapText="1"/>
    </x:xf>
    <x:xf numFmtId="200" fontId="9" fillId="8" borderId="55" xfId="0" applyNumberFormat="1" applyFont="1" applyFill="1" applyBorder="1" applyAlignment="1">
      <x:alignment vertical="center" wrapText="1"/>
    </x:xf>
    <x:xf numFmtId="0" fontId="9" fillId="8" borderId="55" xfId="0" applyNumberFormat="1" applyFont="1" applyFill="1" applyBorder="1" applyAlignment="1">
      <x:alignment vertical="center" wrapText="1"/>
    </x:xf>
    <x:xf numFmtId="206" fontId="17" fillId="8" borderId="55" xfId="0" applyNumberFormat="1" applyFont="1" applyFill="1" applyBorder="1" applyAlignment="1">
      <x:alignment vertical="center" wrapText="1"/>
    </x:xf>
    <x:xf numFmtId="206" fontId="17" fillId="8" borderId="56" xfId="0" applyNumberFormat="1" applyFont="1" applyFill="1" applyBorder="1" applyAlignment="1">
      <x:alignment vertical="center" wrapText="1"/>
    </x:xf>
    <x:xf numFmtId="200" fontId="22" fillId="6" borderId="34" xfId="0" applyNumberFormat="1" applyFont="1" applyFill="1" applyBorder="1" applyAlignment="1">
      <x:alignment vertical="center" wrapText="1"/>
    </x:xf>
    <x:xf numFmtId="200" fontId="22" fillId="6" borderId="37" xfId="0" applyNumberFormat="1" applyFont="1" applyFill="1" applyBorder="1" applyAlignment="1">
      <x:alignment vertical="center" wrapText="1"/>
    </x:xf>
    <x:xf numFmtId="200" fontId="22" fillId="6" borderId="38" xfId="0" applyNumberFormat="1" applyFont="1" applyFill="1" applyBorder="1" applyAlignment="1">
      <x:alignment vertical="center" wrapText="1"/>
    </x:xf>
    <x:xf numFmtId="200" fontId="22" fillId="6" borderId="39" xfId="0" applyNumberFormat="1" applyFont="1" applyFill="1" applyBorder="1" applyAlignment="1">
      <x:alignment vertical="center" wrapText="1"/>
    </x:xf>
    <x:xf numFmtId="206" fontId="22" fillId="6" borderId="38" xfId="0" applyNumberFormat="1" applyFont="1" applyFill="1" applyBorder="1" applyAlignment="1">
      <x:alignment vertical="center" wrapText="1"/>
    </x:xf>
    <x:xf numFmtId="206" fontId="17" fillId="8" borderId="44" xfId="0" applyNumberFormat="1" applyFont="1" applyFill="1" applyBorder="1" applyAlignment="1">
      <x:alignment vertical="center" wrapText="1"/>
    </x:xf>
    <x:xf numFmtId="206" fontId="17" fillId="8" borderId="45" xfId="0" applyNumberFormat="1" applyFont="1" applyFill="1" applyBorder="1" applyAlignment="1">
      <x:alignment vertical="center" wrapText="1"/>
    </x:xf>
    <x:xf numFmtId="206" fontId="17" fillId="8" borderId="46" xfId="0" applyNumberFormat="1" applyFont="1" applyFill="1" applyBorder="1" applyAlignment="1">
      <x:alignment vertical="center" wrapText="1"/>
    </x:xf>
    <x:xf numFmtId="206" fontId="17" fillId="8" borderId="47" xfId="0" applyNumberFormat="1" applyFont="1" applyFill="1" applyBorder="1" applyAlignment="1">
      <x:alignment vertical="center" wrapText="1"/>
    </x:xf>
    <x:xf numFmtId="207" fontId="17" fillId="8" borderId="40" xfId="0" applyNumberFormat="1" applyFont="1" applyFill="1" applyBorder="1" applyAlignment="1">
      <x:alignment vertical="center" wrapText="1"/>
    </x:xf>
    <x:xf numFmtId="207" fontId="17" fillId="8" borderId="42" xfId="0" applyNumberFormat="1" applyFont="1" applyFill="1" applyBorder="1" applyAlignment="1">
      <x:alignment vertical="center" wrapText="1"/>
    </x:xf>
    <x:xf numFmtId="207" fontId="17" fillId="8" borderId="43" xfId="0" applyNumberFormat="1" applyFont="1" applyFill="1" applyBorder="1" applyAlignment="1">
      <x:alignment vertical="center" wrapText="1"/>
    </x:xf>
    <x:xf numFmtId="0" fontId="22" fillId="6" borderId="34" xfId="0" applyNumberFormat="1" applyFont="1" applyFill="1" applyBorder="1" applyAlignment="1">
      <x:alignment vertical="center" wrapText="1"/>
    </x:xf>
    <x:xf numFmtId="0" fontId="22" fillId="6" borderId="38" xfId="0" applyNumberFormat="1" applyFont="1" applyFill="1" applyBorder="1" applyAlignment="1">
      <x:alignment vertical="center" wrapText="1"/>
    </x:xf>
    <x:xf numFmtId="0" fontId="22" fillId="6" borderId="40" xfId="0" applyNumberFormat="1" applyFont="1" applyFill="1" applyBorder="1" applyAlignment="1">
      <x:alignment vertical="center" wrapText="1"/>
    </x:xf>
    <x:xf numFmtId="206" fontId="17" fillId="8" borderId="57" xfId="0" applyNumberFormat="1" applyFont="1" applyFill="1" applyBorder="1" applyAlignment="1">
      <x:alignment vertical="center" wrapText="1"/>
    </x:xf>
    <x:xf numFmtId="0" fontId="20" fillId="11" borderId="34" xfId="0" applyNumberFormat="1" applyFont="1" applyFill="1" applyBorder="1" applyAlignment="1">
      <x:alignment vertical="center" wrapText="1"/>
    </x:xf>
    <x:xf numFmtId="200" fontId="20" fillId="11" borderId="36" xfId="0" applyNumberFormat="1" applyFont="1" applyFill="1" applyBorder="1" applyAlignment="1">
      <x:alignment vertical="center" wrapText="1"/>
    </x:xf>
    <x:xf numFmtId="200" fontId="20" fillId="11" borderId="50" xfId="0" applyNumberFormat="1" applyFont="1" applyFill="1" applyBorder="1" applyAlignment="1">
      <x:alignment vertical="center" wrapText="1"/>
    </x:xf>
    <x:xf numFmtId="201" fontId="21" fillId="6" borderId="36" xfId="0" applyNumberFormat="1" applyFont="1" applyFill="1" applyBorder="1" applyAlignment="1">
      <x:alignment vertical="center" wrapText="1"/>
    </x:xf>
    <x:xf numFmtId="200" fontId="20" fillId="11" borderId="58" xfId="0" applyNumberFormat="1" applyFont="1" applyFill="1" applyBorder="1" applyAlignment="1">
      <x:alignment vertical="center" wrapText="1"/>
    </x:xf>
    <x:xf numFmtId="200" fontId="20" fillId="11" borderId="37" xfId="0" applyNumberFormat="1" applyFont="1" applyFill="1" applyBorder="1" applyAlignment="1">
      <x:alignment vertical="center" wrapText="1"/>
    </x:xf>
    <x:xf numFmtId="0" fontId="20" fillId="11" borderId="38" xfId="0" applyNumberFormat="1" applyFont="1" applyFill="1" applyBorder="1" applyAlignment="1">
      <x:alignment vertical="center" wrapText="1"/>
    </x:xf>
    <x:xf numFmtId="200" fontId="20" fillId="11" xfId="0" applyNumberFormat="1" applyFont="1" applyFill="1" applyBorder="0" applyAlignment="1">
      <x:alignment vertical="center" wrapText="1"/>
    </x:xf>
    <x:xf numFmtId="201" fontId="21" fillId="6" xfId="0" applyNumberFormat="1" applyFont="1" applyFill="1" applyBorder="0" applyAlignment="1">
      <x:alignment vertical="center" wrapText="1"/>
    </x:xf>
    <x:xf numFmtId="200" fontId="20" fillId="11" borderId="39" xfId="0" applyNumberFormat="1" applyFont="1" applyFill="1" applyBorder="1" applyAlignment="1">
      <x:alignment vertical="center" wrapText="1"/>
    </x:xf>
    <x:xf numFmtId="0" fontId="20" fillId="11" borderId="40" xfId="0" applyNumberFormat="1" applyFont="1" applyFill="1" applyBorder="1" applyAlignment="1">
      <x:alignment vertical="center" wrapText="1"/>
    </x:xf>
    <x:xf numFmtId="200" fontId="20" fillId="11" borderId="42" xfId="0" applyNumberFormat="1" applyFont="1" applyFill="1" applyBorder="1" applyAlignment="1">
      <x:alignment vertical="center" wrapText="1"/>
    </x:xf>
    <x:xf numFmtId="200" fontId="20" fillId="11" borderId="51" xfId="0" applyNumberFormat="1" applyFont="1" applyFill="1" applyBorder="1" applyAlignment="1">
      <x:alignment vertical="center" wrapText="1"/>
    </x:xf>
    <x:xf numFmtId="201" fontId="21" fillId="6" borderId="42" xfId="0" applyNumberFormat="1" applyFont="1" applyFill="1" applyBorder="1" applyAlignment="1">
      <x:alignment vertical="center" wrapText="1"/>
    </x:xf>
    <x:xf numFmtId="200" fontId="20" fillId="11" borderId="59" xfId="0" applyNumberFormat="1" applyFont="1" applyFill="1" applyBorder="1" applyAlignment="1">
      <x:alignment vertical="center" wrapText="1"/>
    </x:xf>
    <x:xf numFmtId="200" fontId="20" fillId="11" borderId="43" xfId="0" applyNumberFormat="1" applyFont="1" applyFill="1" applyBorder="1" applyAlignment="1">
      <x:alignment vertical="center" wrapText="1"/>
    </x:xf>
    <x:xf numFmtId="200" fontId="16" fillId="8" borderId="34" xfId="0" applyNumberFormat="1" applyFont="1" applyFill="1" applyBorder="1" applyAlignment="1">
      <x:alignment vertical="center" wrapText="1"/>
    </x:xf>
    <x:xf numFmtId="200" fontId="16" fillId="8" borderId="36" xfId="0" applyNumberFormat="1" applyFont="1" applyFill="1" applyBorder="1" applyAlignment="1">
      <x:alignment vertical="center" wrapText="1"/>
    </x:xf>
    <x:xf numFmtId="0" fontId="16" fillId="8" borderId="37" xfId="0" applyNumberFormat="1" applyFont="1" applyFill="1" applyBorder="1" applyAlignment="1">
      <x:alignment vertical="center" wrapText="1"/>
    </x:xf>
    <x:xf numFmtId="201" fontId="16" fillId="8" borderId="38" xfId="0" applyNumberFormat="1" applyFont="1" applyFill="1" applyBorder="1" applyAlignment="1">
      <x:alignment vertical="center" wrapText="1"/>
    </x:xf>
    <x:xf numFmtId="201" fontId="16" fillId="8" xfId="0" applyNumberFormat="1" applyFont="1" applyFill="1" applyBorder="0" applyAlignment="1">
      <x:alignment vertical="center" wrapText="1"/>
    </x:xf>
    <x:xf numFmtId="0" fontId="16" fillId="8" borderId="39" xfId="0" applyNumberFormat="1" applyFont="1" applyFill="1" applyBorder="1" applyAlignment="1">
      <x:alignment vertical="center" wrapText="1"/>
    </x:xf>
    <x:xf numFmtId="200" fontId="16" fillId="8" borderId="38" xfId="0" applyNumberFormat="1" applyFont="1" applyFill="1" applyBorder="1" applyAlignment="1">
      <x:alignment vertical="center" wrapText="1"/>
    </x:xf>
    <x:xf numFmtId="200" fontId="16" fillId="8" xfId="0" applyNumberFormat="1" applyFont="1" applyFill="1" applyBorder="0" applyAlignment="1">
      <x:alignment vertical="center" wrapText="1"/>
    </x:xf>
    <x:xf numFmtId="200" fontId="16" fillId="8" borderId="40" xfId="0" applyNumberFormat="1" applyFont="1" applyFill="1" applyBorder="1" applyAlignment="1">
      <x:alignment vertical="center" wrapText="1"/>
    </x:xf>
    <x:xf numFmtId="200" fontId="16" fillId="8" borderId="42" xfId="0" applyNumberFormat="1" applyFont="1" applyFill="1" applyBorder="1" applyAlignment="1">
      <x:alignment vertical="center" wrapText="1"/>
    </x:xf>
    <x:xf numFmtId="0" fontId="16" fillId="8" borderId="43" xfId="0" applyNumberFormat="1" applyFont="1" applyFill="1" applyBorder="1" applyAlignment="1">
      <x:alignment vertical="center" wrapText="1"/>
    </x:xf>
    <x:xf numFmtId="0" fontId="20" fillId="11" borderId="36" xfId="0" applyNumberFormat="1" applyFont="1" applyFill="1" applyBorder="1" applyAlignment="1">
      <x:alignment vertical="center" wrapText="1"/>
    </x:xf>
    <x:xf numFmtId="0" fontId="20" fillId="11" borderId="37" xfId="0" applyNumberFormat="1" applyFont="1" applyFill="1" applyBorder="1" applyAlignment="1">
      <x:alignment vertical="center" wrapText="1"/>
    </x:xf>
    <x:xf numFmtId="0" fontId="20" fillId="11" xfId="0" applyNumberFormat="1" applyFont="1" applyFill="1" applyBorder="0" applyAlignment="1">
      <x:alignment vertical="center" wrapText="1"/>
    </x:xf>
    <x:xf numFmtId="0" fontId="20" fillId="11" borderId="39" xfId="0" applyNumberFormat="1" applyFont="1" applyFill="1" applyBorder="1" applyAlignment="1">
      <x:alignment vertical="center" wrapText="1"/>
    </x:xf>
    <x:xf numFmtId="0" fontId="20" fillId="11" borderId="42" xfId="0" applyNumberFormat="1" applyFont="1" applyFill="1" applyBorder="1" applyAlignment="1">
      <x:alignment vertical="center" wrapText="1"/>
    </x:xf>
    <x:xf numFmtId="0" fontId="20" fillId="11" borderId="43" xfId="0" applyNumberFormat="1" applyFont="1" applyFill="1" applyBorder="1" applyAlignment="1">
      <x:alignment vertical="center" wrapText="1"/>
    </x:xf>
    <x:xf numFmtId="0" fontId="23" fillId="14" borderId="34" xfId="0" applyNumberFormat="1" applyFont="1" applyFill="1" applyBorder="1" applyAlignment="1">
      <x:alignment vertical="center" wrapText="1"/>
    </x:xf>
    <x:xf numFmtId="0" fontId="11" fillId="6" borderId="60" xfId="0" applyNumberFormat="1" applyFont="1" applyFill="1" applyBorder="1" applyAlignment="1">
      <x:alignment vertical="center" wrapText="1"/>
    </x:xf>
    <x:xf numFmtId="0" fontId="11" fillId="0" borderId="37" xfId="0" applyNumberFormat="1" applyFont="1" applyFill="1" applyBorder="1" applyAlignment="1">
      <x:alignment vertical="center" wrapText="1"/>
    </x:xf>
    <x:xf numFmtId="0" fontId="23" fillId="14" borderId="38" xfId="0" applyNumberFormat="1" applyFont="1" applyFill="1" applyBorder="1" applyAlignment="1">
      <x:alignment vertical="center" wrapText="1"/>
    </x:xf>
    <x:xf numFmtId="0" fontId="11" fillId="0" borderId="39" xfId="0" applyNumberFormat="1" applyFont="1" applyFill="1" applyBorder="1" applyAlignment="1">
      <x:alignment vertical="center" wrapText="1"/>
    </x:xf>
    <x:xf numFmtId="0" fontId="23" fillId="14" borderId="40" xfId="0" applyNumberFormat="1" applyFont="1" applyFill="1" applyBorder="1" applyAlignment="1">
      <x:alignment vertical="center" wrapText="1"/>
    </x:xf>
    <x:xf numFmtId="0" fontId="11" fillId="6" borderId="61" xfId="0" applyNumberFormat="1" applyFont="1" applyFill="1" applyBorder="1" applyAlignment="1">
      <x:alignment vertical="center" wrapText="1"/>
    </x:xf>
    <x:xf numFmtId="0" fontId="11" fillId="0" borderId="43" xfId="0" applyNumberFormat="1" applyFont="1" applyFill="1" applyBorder="1" applyAlignment="1">
      <x:alignment vertical="center" wrapText="1"/>
    </x:xf>
    <x:xf numFmtId="0" fontId="11" fillId="0" borderId="36" xfId="0" applyNumberFormat="1" applyFont="1" applyFill="1" applyBorder="1" applyAlignment="1">
      <x:alignment vertical="center" wrapText="1"/>
    </x:xf>
    <x:xf numFmtId="0" fontId="11" fillId="0" borderId="42" xfId="0" applyNumberFormat="1" applyFont="1" applyFill="1" applyBorder="1" applyAlignment="1">
      <x:alignment vertical="center" wrapText="1"/>
    </x:xf>
    <x:xf numFmtId="209" fontId="22" fillId="6" borderId="34" xfId="0" applyNumberFormat="1" applyFont="1" applyFill="1" applyBorder="1" applyAlignment="1">
      <x:alignment vertical="center" wrapText="1"/>
    </x:xf>
    <x:xf numFmtId="209" fontId="22" fillId="6" borderId="36" xfId="0" applyNumberFormat="1" applyFont="1" applyFill="1" applyBorder="1" applyAlignment="1">
      <x:alignment vertical="center" wrapText="1"/>
    </x:xf>
    <x:xf numFmtId="0" fontId="22" fillId="6" borderId="37" xfId="0" applyNumberFormat="1" applyFont="1" applyFill="1" applyBorder="1" applyAlignment="1">
      <x:alignment vertical="center" wrapText="1"/>
    </x:xf>
    <x:xf numFmtId="209" fontId="22" fillId="6" borderId="38" xfId="0" applyNumberFormat="1" applyFont="1" applyFill="1" applyBorder="1" applyAlignment="1">
      <x:alignment vertical="center" wrapText="1"/>
    </x:xf>
    <x:xf numFmtId="209" fontId="22" fillId="6" xfId="0" applyNumberFormat="1" applyFont="1" applyFill="1" applyBorder="0" applyAlignment="1">
      <x:alignment vertical="center" wrapText="1"/>
    </x:xf>
    <x:xf numFmtId="0" fontId="22" fillId="6" borderId="39" xfId="0" applyNumberFormat="1" applyFont="1" applyFill="1" applyBorder="1" applyAlignment="1">
      <x:alignment vertical="center" wrapText="1"/>
    </x:xf>
    <x:xf numFmtId="209" fontId="22" fillId="6" borderId="40" xfId="0" applyNumberFormat="1" applyFont="1" applyFill="1" applyBorder="1" applyAlignment="1">
      <x:alignment vertical="center" wrapText="1"/>
    </x:xf>
    <x:xf numFmtId="209" fontId="22" fillId="6" borderId="42" xfId="0" applyNumberFormat="1" applyFont="1" applyFill="1" applyBorder="1" applyAlignment="1">
      <x:alignment vertical="center" wrapText="1"/>
    </x:xf>
    <x:xf numFmtId="0" fontId="22" fillId="6" borderId="43" xfId="0" applyNumberFormat="1" applyFont="1" applyFill="1" applyBorder="1" applyAlignment="1">
      <x:alignment vertical="center" wrapText="1"/>
    </x:xf>
    <x:xf numFmtId="0" fontId="17" fillId="8" borderId="62" xfId="0" applyNumberFormat="1" applyFont="1" applyFill="1" applyBorder="1" applyAlignment="1">
      <x:alignment vertical="center" wrapText="1"/>
    </x:xf>
    <x:xf numFmtId="0" fontId="11" fillId="0" borderId="63" xfId="0" applyNumberFormat="1" applyFont="1" applyFill="1" applyBorder="1" applyAlignment="1">
      <x:alignment vertical="center" wrapText="1"/>
    </x:xf>
    <x:xf numFmtId="0" fontId="11" fillId="0" borderId="64" xfId="0" applyNumberFormat="1" applyFont="1" applyFill="1" applyBorder="1" applyAlignment="1">
      <x:alignment vertical="center" wrapText="1"/>
    </x:xf>
    <x:xf numFmtId="0" fontId="14" fillId="15" borderId="0" xfId="0" applyNumberFormat="1" applyFont="1" applyFill="1" applyBorder="1" applyAlignment="1">
      <x:alignment horizontal="center" vertical="center" wrapText="1"/>
    </x:xf>
    <x:xf numFmtId="0" fontId="3" fillId="15" borderId="0" xfId="0" applyNumberFormat="1" applyFont="1" applyFill="1" applyBorder="1" applyAlignment="1">
      <x:alignment horizontal="center"/>
    </x:xf>
    <x:xf numFmtId="0" fontId="15" fillId="16" borderId="28" xfId="0" applyNumberFormat="1" applyFont="1" applyFill="1" applyBorder="1" applyAlignment="1">
      <x:alignment vertical="center" wrapText="1"/>
    </x:xf>
    <x:xf numFmtId="0" fontId="19" fillId="16" borderId="29" xfId="0" applyNumberFormat="1" applyFont="1" applyFill="1" applyBorder="1" applyAlignment="1">
      <x:alignment wrapText="1"/>
    </x:xf>
    <x:xf numFmtId="0" fontId="19" fillId="16" borderId="30" xfId="0" applyNumberFormat="1" applyFont="1" applyFill="1" applyBorder="1" applyAlignment="1">
      <x:alignment wrapText="1"/>
    </x:xf>
    <x:xf numFmtId="0" fontId="20" fillId="17" borderId="31" xfId="0" applyNumberFormat="1" applyFont="1" applyFill="1" applyBorder="1" applyAlignment="1">
      <x:alignment vertical="center" wrapText="1"/>
    </x:xf>
    <x:xf numFmtId="0" fontId="20" fillId="17" borderId="32" xfId="0" applyNumberFormat="1" applyFont="1" applyFill="1" applyBorder="1" applyAlignment="1">
      <x:alignment vertical="center" wrapText="1"/>
    </x:xf>
    <x:xf numFmtId="0" fontId="20" fillId="17" borderId="33" xfId="0" applyNumberFormat="1" applyFont="1" applyFill="1" applyBorder="1" applyAlignment="1">
      <x:alignment vertical="center" wrapText="1"/>
    </x:xf>
    <x:xf numFmtId="200" fontId="20" fillId="17" borderId="35" xfId="0" applyNumberFormat="1" applyFont="1" applyFill="1" applyBorder="1" applyAlignment="1">
      <x:alignment vertical="center" wrapText="1"/>
    </x:xf>
    <x:xf numFmtId="201" fontId="20" fillId="17" borderId="21" xfId="0" applyNumberFormat="1" applyFont="1" applyFill="1" applyBorder="1" applyAlignment="1">
      <x:alignment vertical="center" wrapText="1"/>
    </x:xf>
    <x:xf numFmtId="202" fontId="20" fillId="17" borderId="21" xfId="0" applyNumberFormat="1" applyFont="1" applyFill="1" applyBorder="1" applyAlignment="1">
      <x:alignment vertical="center" wrapText="1"/>
    </x:xf>
    <x:xf numFmtId="203" fontId="20" fillId="17" borderId="21" xfId="0" applyNumberFormat="1" applyFont="1" applyFill="1" applyBorder="1" applyAlignment="1">
      <x:alignment vertical="center" wrapText="1"/>
    </x:xf>
    <x:xf numFmtId="204" fontId="20" fillId="17" borderId="21" xfId="0" applyNumberFormat="1" applyFont="1" applyFill="1" applyBorder="1" applyAlignment="1">
      <x:alignment vertical="center" wrapText="1"/>
    </x:xf>
    <x:xf numFmtId="205" fontId="20" fillId="17" borderId="21" xfId="0" applyNumberFormat="1" applyFont="1" applyFill="1" applyBorder="1" applyAlignment="1">
      <x:alignment vertical="center" wrapText="1"/>
    </x:xf>
    <x:xf numFmtId="201" fontId="20" fillId="17" borderId="41" xfId="0" applyNumberFormat="1" applyFont="1" applyFill="1" applyBorder="1" applyAlignment="1">
      <x:alignment vertical="center" wrapText="1"/>
    </x:xf>
    <x:xf numFmtId="200" fontId="20" fillId="17" borderId="34" xfId="0" applyNumberFormat="1" applyFont="1" applyFill="1" applyBorder="1" applyAlignment="1">
      <x:alignment vertical="center" wrapText="1"/>
    </x:xf>
    <x:xf numFmtId="201" fontId="20" fillId="17" borderId="36" xfId="0" applyNumberFormat="1" applyFont="1" applyFill="1" applyBorder="1" applyAlignment="1">
      <x:alignment vertical="center" wrapText="1"/>
    </x:xf>
    <x:xf numFmtId="202" fontId="20" fillId="17" borderId="36" xfId="0" applyNumberFormat="1" applyFont="1" applyFill="1" applyBorder="1" applyAlignment="1">
      <x:alignment vertical="center" wrapText="1"/>
    </x:xf>
    <x:xf numFmtId="203" fontId="20" fillId="17" borderId="36" xfId="0" applyNumberFormat="1" applyFont="1" applyFill="1" applyBorder="1" applyAlignment="1">
      <x:alignment vertical="center" wrapText="1"/>
    </x:xf>
    <x:xf numFmtId="204" fontId="20" fillId="17" borderId="36" xfId="0" applyNumberFormat="1" applyFont="1" applyFill="1" applyBorder="1" applyAlignment="1">
      <x:alignment vertical="center" wrapText="1"/>
    </x:xf>
    <x:xf numFmtId="205" fontId="20" fillId="17" borderId="36" xfId="0" applyNumberFormat="1" applyFont="1" applyFill="1" applyBorder="1" applyAlignment="1">
      <x:alignment vertical="center" wrapText="1"/>
    </x:xf>
    <x:xf numFmtId="201" fontId="20" fillId="17" borderId="50" xfId="0" applyNumberFormat="1" applyFont="1" applyFill="1" applyBorder="1" applyAlignment="1">
      <x:alignment vertical="center" wrapText="1"/>
    </x:xf>
    <x:xf numFmtId="200" fontId="20" fillId="17" borderId="38" xfId="0" applyNumberFormat="1" applyFont="1" applyFill="1" applyBorder="1" applyAlignment="1">
      <x:alignment vertical="center" wrapText="1"/>
    </x:xf>
    <x:xf numFmtId="201" fontId="20" fillId="17" xfId="0" applyNumberFormat="1" applyFont="1" applyFill="1" applyBorder="0" applyAlignment="1">
      <x:alignment vertical="center" wrapText="1"/>
    </x:xf>
    <x:xf numFmtId="202" fontId="20" fillId="17" xfId="0" applyNumberFormat="1" applyFont="1" applyFill="1" applyBorder="0" applyAlignment="1">
      <x:alignment vertical="center" wrapText="1"/>
    </x:xf>
    <x:xf numFmtId="203" fontId="20" fillId="17" xfId="0" applyNumberFormat="1" applyFont="1" applyFill="1" applyBorder="0" applyAlignment="1">
      <x:alignment vertical="center" wrapText="1"/>
    </x:xf>
    <x:xf numFmtId="204" fontId="20" fillId="17" xfId="0" applyNumberFormat="1" applyFont="1" applyFill="1" applyBorder="0" applyAlignment="1">
      <x:alignment vertical="center" wrapText="1"/>
    </x:xf>
    <x:xf numFmtId="205" fontId="20" fillId="17" xfId="0" applyNumberFormat="1" applyFont="1" applyFill="1" applyBorder="0" applyAlignment="1">
      <x:alignment vertical="center" wrapText="1"/>
    </x:xf>
    <x:xf numFmtId="201" fontId="20" fillId="17" borderId="16" xfId="0" applyNumberFormat="1" applyFont="1" applyFill="1" applyBorder="1" applyAlignment="1">
      <x:alignment vertical="center" wrapText="1"/>
    </x:xf>
    <x:xf numFmtId="200" fontId="20" fillId="17" borderId="40" xfId="0" applyNumberFormat="1" applyFont="1" applyFill="1" applyBorder="1" applyAlignment="1">
      <x:alignment vertical="center" wrapText="1"/>
    </x:xf>
    <x:xf numFmtId="201" fontId="20" fillId="17" borderId="42" xfId="0" applyNumberFormat="1" applyFont="1" applyFill="1" applyBorder="1" applyAlignment="1">
      <x:alignment vertical="center" wrapText="1"/>
    </x:xf>
    <x:xf numFmtId="202" fontId="20" fillId="17" borderId="42" xfId="0" applyNumberFormat="1" applyFont="1" applyFill="1" applyBorder="1" applyAlignment="1">
      <x:alignment vertical="center" wrapText="1"/>
    </x:xf>
    <x:xf numFmtId="203" fontId="20" fillId="17" borderId="42" xfId="0" applyNumberFormat="1" applyFont="1" applyFill="1" applyBorder="1" applyAlignment="1">
      <x:alignment vertical="center" wrapText="1"/>
    </x:xf>
    <x:xf numFmtId="204" fontId="20" fillId="17" borderId="42" xfId="0" applyNumberFormat="1" applyFont="1" applyFill="1" applyBorder="1" applyAlignment="1">
      <x:alignment vertical="center" wrapText="1"/>
    </x:xf>
    <x:xf numFmtId="205" fontId="20" fillId="17" borderId="42" xfId="0" applyNumberFormat="1" applyFont="1" applyFill="1" applyBorder="1" applyAlignment="1">
      <x:alignment vertical="center" wrapText="1"/>
    </x:xf>
    <x:xf numFmtId="201" fontId="20" fillId="17" borderId="51" xfId="0" applyNumberFormat="1" applyFont="1" applyFill="1" applyBorder="1" applyAlignment="1">
      <x:alignment vertical="center" wrapText="1"/>
    </x:xf>
    <x:xf numFmtId="201" fontId="20" fillId="17" borderId="35" xfId="0" applyNumberFormat="1" applyFont="1" applyFill="1" applyBorder="1" applyAlignment="1">
      <x:alignment vertical="center" wrapText="1"/>
    </x:xf>
    <x:xf numFmtId="201" fontId="20" fillId="17" borderId="22" xfId="0" applyNumberFormat="1" applyFont="1" applyFill="1" applyBorder="1" applyAlignment="1">
      <x:alignment vertical="center" wrapText="1"/>
    </x:xf>
    <x:xf numFmtId="200" fontId="20" fillId="17" borderId="21" xfId="0" applyNumberFormat="1" applyFont="1" applyFill="1" applyBorder="1" applyAlignment="1">
      <x:alignment vertical="center" wrapText="1"/>
    </x:xf>
    <x:xf numFmtId="200" fontId="20" fillId="17" borderId="22" xfId="0" applyNumberFormat="1" applyFont="1" applyFill="1" applyBorder="1" applyAlignment="1">
      <x:alignment vertical="center" wrapText="1"/>
    </x:xf>
    <x:xf numFmtId="208" fontId="20" fillId="17" borderId="35" xfId="0" applyNumberFormat="1" applyFont="1" applyFill="1" applyBorder="1" applyAlignment="1">
      <x:alignment vertical="center" wrapText="1"/>
    </x:xf>
    <x:xf numFmtId="208" fontId="20" fillId="17" borderId="21" xfId="0" applyNumberFormat="1" applyFont="1" applyFill="1" applyBorder="1" applyAlignment="1">
      <x:alignment vertical="center" wrapText="1"/>
    </x:xf>
    <x:xf numFmtId="208" fontId="20" fillId="17" borderId="22" xfId="0" applyNumberFormat="1" applyFont="1" applyFill="1" applyBorder="1" applyAlignment="1">
      <x:alignment vertical="center" wrapText="1"/>
    </x:xf>
    <x:xf numFmtId="0" fontId="20" fillId="17" borderId="34" xfId="0" applyNumberFormat="1" applyFont="1" applyFill="1" applyBorder="1" applyAlignment="1">
      <x:alignment vertical="center" wrapText="1"/>
    </x:xf>
    <x:xf numFmtId="200" fontId="20" fillId="17" borderId="36" xfId="0" applyNumberFormat="1" applyFont="1" applyFill="1" applyBorder="1" applyAlignment="1">
      <x:alignment vertical="center" wrapText="1"/>
    </x:xf>
    <x:xf numFmtId="200" fontId="20" fillId="17" borderId="50" xfId="0" applyNumberFormat="1" applyFont="1" applyFill="1" applyBorder="1" applyAlignment="1">
      <x:alignment vertical="center" wrapText="1"/>
    </x:xf>
    <x:xf numFmtId="0" fontId="20" fillId="17" borderId="38" xfId="0" applyNumberFormat="1" applyFont="1" applyFill="1" applyBorder="1" applyAlignment="1">
      <x:alignment vertical="center" wrapText="1"/>
    </x:xf>
    <x:xf numFmtId="200" fontId="20" fillId="17" xfId="0" applyNumberFormat="1" applyFont="1" applyFill="1" applyBorder="0" applyAlignment="1">
      <x:alignment vertical="center" wrapText="1"/>
    </x:xf>
    <x:xf numFmtId="200" fontId="20" fillId="17" borderId="16" xfId="0" applyNumberFormat="1" applyFont="1" applyFill="1" applyBorder="1" applyAlignment="1">
      <x:alignment vertical="center" wrapText="1"/>
    </x:xf>
    <x:xf numFmtId="0" fontId="20" fillId="17" borderId="40" xfId="0" applyNumberFormat="1" applyFont="1" applyFill="1" applyBorder="1" applyAlignment="1">
      <x:alignment vertical="center" wrapText="1"/>
    </x:xf>
    <x:xf numFmtId="200" fontId="20" fillId="17" borderId="42" xfId="0" applyNumberFormat="1" applyFont="1" applyFill="1" applyBorder="1" applyAlignment="1">
      <x:alignment vertical="center" wrapText="1"/>
    </x:xf>
    <x:xf numFmtId="200" fontId="20" fillId="17" borderId="51" xfId="0" applyNumberFormat="1" applyFont="1" applyFill="1" applyBorder="1" applyAlignment="1">
      <x:alignment vertical="center" wrapText="1"/>
    </x:xf>
    <x:xf numFmtId="200" fontId="20" fillId="17" borderId="58" xfId="0" applyNumberFormat="1" applyFont="1" applyFill="1" applyBorder="1" applyAlignment="1">
      <x:alignment vertical="center" wrapText="1"/>
    </x:xf>
    <x:xf numFmtId="200" fontId="20" fillId="17" borderId="37" xfId="0" applyNumberFormat="1" applyFont="1" applyFill="1" applyBorder="1" applyAlignment="1">
      <x:alignment vertical="center" wrapText="1"/>
    </x:xf>
    <x:xf numFmtId="200" fontId="20" fillId="17" borderId="15" xfId="0" applyNumberFormat="1" applyFont="1" applyFill="1" applyBorder="1" applyAlignment="1">
      <x:alignment vertical="center" wrapText="1"/>
    </x:xf>
    <x:xf numFmtId="200" fontId="20" fillId="17" borderId="39" xfId="0" applyNumberFormat="1" applyFont="1" applyFill="1" applyBorder="1" applyAlignment="1">
      <x:alignment vertical="center" wrapText="1"/>
    </x:xf>
    <x:xf numFmtId="200" fontId="20" fillId="17" borderId="59" xfId="0" applyNumberFormat="1" applyFont="1" applyFill="1" applyBorder="1" applyAlignment="1">
      <x:alignment vertical="center" wrapText="1"/>
    </x:xf>
    <x:xf numFmtId="200" fontId="20" fillId="17" borderId="43" xfId="0" applyNumberFormat="1" applyFont="1" applyFill="1" applyBorder="1" applyAlignment="1">
      <x:alignment vertical="center" wrapText="1"/>
    </x:xf>
    <x:xf numFmtId="0" fontId="20" fillId="17" borderId="36" xfId="0" applyNumberFormat="1" applyFont="1" applyFill="1" applyBorder="1" applyAlignment="1">
      <x:alignment vertical="center" wrapText="1"/>
    </x:xf>
    <x:xf numFmtId="0" fontId="20" fillId="17" borderId="37" xfId="0" applyNumberFormat="1" applyFont="1" applyFill="1" applyBorder="1" applyAlignment="1">
      <x:alignment vertical="center" wrapText="1"/>
    </x:xf>
    <x:xf numFmtId="0" fontId="20" fillId="17" xfId="0" applyNumberFormat="1" applyFont="1" applyFill="1" applyBorder="0" applyAlignment="1">
      <x:alignment vertical="center" wrapText="1"/>
    </x:xf>
    <x:xf numFmtId="0" fontId="20" fillId="17" borderId="39" xfId="0" applyNumberFormat="1" applyFont="1" applyFill="1" applyBorder="1" applyAlignment="1">
      <x:alignment vertical="center" wrapText="1"/>
    </x:xf>
    <x:xf numFmtId="0" fontId="20" fillId="17" borderId="42" xfId="0" applyNumberFormat="1" applyFont="1" applyFill="1" applyBorder="1" applyAlignment="1">
      <x:alignment vertical="center" wrapText="1"/>
    </x:xf>
    <x:xf numFmtId="0" fontId="20" fillId="17" borderId="43" xfId="0" applyNumberFormat="1" applyFont="1" applyFill="1" applyBorder="1" applyAlignment="1">
      <x:alignment vertical="center" wrapText="1"/>
    </x:xf>
    <x:xf numFmtId="0" fontId="25" fillId="3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/>
    <x:xf numFmtId="0" fontId="20" fillId="18" borderId="31" xfId="0" applyNumberFormat="1" applyFont="1" applyFill="1" applyBorder="1" applyAlignment="1">
      <x:alignment vertical="center" wrapText="1"/>
    </x:xf>
    <x:xf numFmtId="0" fontId="20" fillId="18" borderId="32" xfId="0" applyNumberFormat="1" applyFont="1" applyFill="1" applyBorder="1" applyAlignment="1">
      <x:alignment vertical="center" wrapText="1"/>
    </x:xf>
    <x:xf numFmtId="0" fontId="20" fillId="18" borderId="33" xfId="0" applyNumberFormat="1" applyFont="1" applyFill="1" applyBorder="1" applyAlignment="1">
      <x:alignment vertical="center" wrapText="1"/>
    </x:xf>
    <x:xf numFmtId="200" fontId="22" fillId="19" borderId="34" xfId="0" applyNumberFormat="1" applyFont="1" applyFill="1" applyBorder="1" applyAlignment="1">
      <x:alignment vertical="center" wrapText="1"/>
    </x:xf>
    <x:xf numFmtId="201" fontId="22" fillId="19" borderId="38" xfId="0" applyNumberFormat="1" applyFont="1" applyFill="1" applyBorder="1" applyAlignment="1">
      <x:alignment vertical="center" wrapText="1"/>
    </x:xf>
    <x:xf numFmtId="202" fontId="22" fillId="19" borderId="38" xfId="0" applyNumberFormat="1" applyFont="1" applyFill="1" applyBorder="1" applyAlignment="1">
      <x:alignment vertical="center" wrapText="1"/>
    </x:xf>
    <x:xf numFmtId="203" fontId="22" fillId="19" borderId="38" xfId="0" applyNumberFormat="1" applyFont="1" applyFill="1" applyBorder="1" applyAlignment="1">
      <x:alignment vertical="center" wrapText="1"/>
    </x:xf>
    <x:xf numFmtId="204" fontId="22" fillId="19" borderId="38" xfId="0" applyNumberFormat="1" applyFont="1" applyFill="1" applyBorder="1" applyAlignment="1">
      <x:alignment vertical="center" wrapText="1"/>
    </x:xf>
    <x:xf numFmtId="205" fontId="22" fillId="19" borderId="38" xfId="0" applyNumberFormat="1" applyFont="1" applyFill="1" applyBorder="1" applyAlignment="1">
      <x:alignment vertical="center" wrapText="1"/>
    </x:xf>
    <x:xf numFmtId="201" fontId="22" fillId="19" borderId="40" xfId="0" applyNumberFormat="1" applyFont="1" applyFill="1" applyBorder="1" applyAlignment="1">
      <x:alignment vertical="center" wrapText="1"/>
    </x:xf>
    <x:xf numFmtId="0" fontId="23" fillId="20" borderId="37" xfId="0" applyNumberFormat="1" applyFont="1" applyFill="1" applyBorder="1" applyAlignment="1">
      <x:alignment vertical="center" wrapText="1"/>
    </x:xf>
    <x:xf numFmtId="0" fontId="23" fillId="20" borderId="39" xfId="0" applyNumberFormat="1" applyFont="1" applyFill="1" applyBorder="1" applyAlignment="1">
      <x:alignment vertical="center" wrapText="1"/>
    </x:xf>
    <x:xf numFmtId="0" fontId="23" fillId="20" borderId="43" xfId="0" applyNumberFormat="1" applyFont="1" applyFill="1" applyBorder="1" applyAlignment="1">
      <x:alignment vertical="center" wrapText="1"/>
    </x:xf>
    <x:xf numFmtId="0" fontId="23" fillId="20" borderId="34" xfId="0" applyNumberFormat="1" applyFont="1" applyFill="1" applyBorder="1" applyAlignment="1">
      <x:alignment vertical="center" wrapText="1"/>
    </x:xf>
    <x:xf numFmtId="0" fontId="23" fillId="20" borderId="38" xfId="0" applyNumberFormat="1" applyFont="1" applyFill="1" applyBorder="1" applyAlignment="1">
      <x:alignment vertical="center" wrapText="1"/>
    </x:xf>
    <x:xf numFmtId="0" fontId="23" fillId="20" borderId="40" xfId="0" applyNumberFormat="1" applyFont="1" applyFill="1" applyBorder="1" applyAlignment="1">
      <x:alignment vertical="center" wrapText="1"/>
    </x:xf>
    <x:xf numFmtId="0" fontId="14" fillId="21" borderId="0" xfId="0" applyNumberFormat="1" applyFont="1" applyFill="1" applyBorder="1" applyAlignment="1">
      <x:alignment horizontal="center" vertical="center" wrapText="1"/>
    </x:xf>
    <x:xf numFmtId="0" fontId="3" fillId="21" borderId="0" xfId="0" applyNumberFormat="1" applyFont="1" applyFill="1" applyBorder="1" applyAlignment="1">
      <x:alignment horizontal="center"/>
    </x:xf>
    <x:xf numFmtId="0" fontId="15" fillId="22" borderId="28" xfId="0" applyNumberFormat="1" applyFont="1" applyFill="1" applyBorder="1" applyAlignment="1">
      <x:alignment vertical="center" wrapText="1"/>
    </x:xf>
    <x:xf numFmtId="0" fontId="19" fillId="22" borderId="29" xfId="0" applyNumberFormat="1" applyFont="1" applyFill="1" applyBorder="1" applyAlignment="1">
      <x:alignment wrapText="1"/>
    </x:xf>
    <x:xf numFmtId="0" fontId="19" fillId="22" borderId="30" xfId="0" applyNumberFormat="1" applyFont="1" applyFill="1" applyBorder="1" applyAlignment="1">
      <x:alignment wrapText="1"/>
    </x:xf>
    <x:xf numFmtId="0" fontId="20" fillId="23" borderId="31" xfId="0" applyNumberFormat="1" applyFont="1" applyFill="1" applyBorder="1" applyAlignment="1">
      <x:alignment vertical="center" wrapText="1"/>
    </x:xf>
    <x:xf numFmtId="0" fontId="20" fillId="23" borderId="32" xfId="0" applyNumberFormat="1" applyFont="1" applyFill="1" applyBorder="1" applyAlignment="1">
      <x:alignment vertical="center" wrapText="1"/>
    </x:xf>
    <x:xf numFmtId="0" fontId="20" fillId="23" borderId="33" xfId="0" applyNumberFormat="1" applyFont="1" applyFill="1" applyBorder="1" applyAlignment="1">
      <x:alignment vertical="center" wrapText="1"/>
    </x:xf>
    <x:xf numFmtId="200" fontId="20" fillId="23" borderId="35" xfId="0" applyNumberFormat="1" applyFont="1" applyFill="1" applyBorder="1" applyAlignment="1">
      <x:alignment vertical="center" wrapText="1"/>
    </x:xf>
    <x:xf numFmtId="201" fontId="20" fillId="23" borderId="21" xfId="0" applyNumberFormat="1" applyFont="1" applyFill="1" applyBorder="1" applyAlignment="1">
      <x:alignment vertical="center" wrapText="1"/>
    </x:xf>
    <x:xf numFmtId="202" fontId="20" fillId="23" borderId="21" xfId="0" applyNumberFormat="1" applyFont="1" applyFill="1" applyBorder="1" applyAlignment="1">
      <x:alignment vertical="center" wrapText="1"/>
    </x:xf>
    <x:xf numFmtId="203" fontId="20" fillId="23" borderId="21" xfId="0" applyNumberFormat="1" applyFont="1" applyFill="1" applyBorder="1" applyAlignment="1">
      <x:alignment vertical="center" wrapText="1"/>
    </x:xf>
    <x:xf numFmtId="204" fontId="20" fillId="23" borderId="21" xfId="0" applyNumberFormat="1" applyFont="1" applyFill="1" applyBorder="1" applyAlignment="1">
      <x:alignment vertical="center" wrapText="1"/>
    </x:xf>
    <x:xf numFmtId="205" fontId="20" fillId="23" borderId="21" xfId="0" applyNumberFormat="1" applyFont="1" applyFill="1" applyBorder="1" applyAlignment="1">
      <x:alignment vertical="center" wrapText="1"/>
    </x:xf>
    <x:xf numFmtId="201" fontId="20" fillId="23" borderId="41" xfId="0" applyNumberFormat="1" applyFont="1" applyFill="1" applyBorder="1" applyAlignment="1">
      <x:alignment vertical="center" wrapText="1"/>
    </x:xf>
    <x:xf numFmtId="200" fontId="20" fillId="23" borderId="34" xfId="0" applyNumberFormat="1" applyFont="1" applyFill="1" applyBorder="1" applyAlignment="1">
      <x:alignment vertical="center" wrapText="1"/>
    </x:xf>
    <x:xf numFmtId="201" fontId="20" fillId="23" borderId="36" xfId="0" applyNumberFormat="1" applyFont="1" applyFill="1" applyBorder="1" applyAlignment="1">
      <x:alignment vertical="center" wrapText="1"/>
    </x:xf>
    <x:xf numFmtId="202" fontId="20" fillId="23" borderId="36" xfId="0" applyNumberFormat="1" applyFont="1" applyFill="1" applyBorder="1" applyAlignment="1">
      <x:alignment vertical="center" wrapText="1"/>
    </x:xf>
    <x:xf numFmtId="203" fontId="20" fillId="23" borderId="36" xfId="0" applyNumberFormat="1" applyFont="1" applyFill="1" applyBorder="1" applyAlignment="1">
      <x:alignment vertical="center" wrapText="1"/>
    </x:xf>
    <x:xf numFmtId="204" fontId="20" fillId="23" borderId="36" xfId="0" applyNumberFormat="1" applyFont="1" applyFill="1" applyBorder="1" applyAlignment="1">
      <x:alignment vertical="center" wrapText="1"/>
    </x:xf>
    <x:xf numFmtId="205" fontId="20" fillId="23" borderId="36" xfId="0" applyNumberFormat="1" applyFont="1" applyFill="1" applyBorder="1" applyAlignment="1">
      <x:alignment vertical="center" wrapText="1"/>
    </x:xf>
    <x:xf numFmtId="201" fontId="20" fillId="23" borderId="50" xfId="0" applyNumberFormat="1" applyFont="1" applyFill="1" applyBorder="1" applyAlignment="1">
      <x:alignment vertical="center" wrapText="1"/>
    </x:xf>
    <x:xf numFmtId="200" fontId="20" fillId="23" borderId="38" xfId="0" applyNumberFormat="1" applyFont="1" applyFill="1" applyBorder="1" applyAlignment="1">
      <x:alignment vertical="center" wrapText="1"/>
    </x:xf>
    <x:xf numFmtId="201" fontId="20" fillId="23" xfId="0" applyNumberFormat="1" applyFont="1" applyFill="1" applyBorder="0" applyAlignment="1">
      <x:alignment vertical="center" wrapText="1"/>
    </x:xf>
    <x:xf numFmtId="202" fontId="20" fillId="23" xfId="0" applyNumberFormat="1" applyFont="1" applyFill="1" applyBorder="0" applyAlignment="1">
      <x:alignment vertical="center" wrapText="1"/>
    </x:xf>
    <x:xf numFmtId="203" fontId="20" fillId="23" xfId="0" applyNumberFormat="1" applyFont="1" applyFill="1" applyBorder="0" applyAlignment="1">
      <x:alignment vertical="center" wrapText="1"/>
    </x:xf>
    <x:xf numFmtId="204" fontId="20" fillId="23" xfId="0" applyNumberFormat="1" applyFont="1" applyFill="1" applyBorder="0" applyAlignment="1">
      <x:alignment vertical="center" wrapText="1"/>
    </x:xf>
    <x:xf numFmtId="205" fontId="20" fillId="23" xfId="0" applyNumberFormat="1" applyFont="1" applyFill="1" applyBorder="0" applyAlignment="1">
      <x:alignment vertical="center" wrapText="1"/>
    </x:xf>
    <x:xf numFmtId="201" fontId="20" fillId="23" borderId="16" xfId="0" applyNumberFormat="1" applyFont="1" applyFill="1" applyBorder="1" applyAlignment="1">
      <x:alignment vertical="center" wrapText="1"/>
    </x:xf>
    <x:xf numFmtId="200" fontId="20" fillId="23" borderId="40" xfId="0" applyNumberFormat="1" applyFont="1" applyFill="1" applyBorder="1" applyAlignment="1">
      <x:alignment vertical="center" wrapText="1"/>
    </x:xf>
    <x:xf numFmtId="201" fontId="20" fillId="23" borderId="42" xfId="0" applyNumberFormat="1" applyFont="1" applyFill="1" applyBorder="1" applyAlignment="1">
      <x:alignment vertical="center" wrapText="1"/>
    </x:xf>
    <x:xf numFmtId="202" fontId="20" fillId="23" borderId="42" xfId="0" applyNumberFormat="1" applyFont="1" applyFill="1" applyBorder="1" applyAlignment="1">
      <x:alignment vertical="center" wrapText="1"/>
    </x:xf>
    <x:xf numFmtId="203" fontId="20" fillId="23" borderId="42" xfId="0" applyNumberFormat="1" applyFont="1" applyFill="1" applyBorder="1" applyAlignment="1">
      <x:alignment vertical="center" wrapText="1"/>
    </x:xf>
    <x:xf numFmtId="204" fontId="20" fillId="23" borderId="42" xfId="0" applyNumberFormat="1" applyFont="1" applyFill="1" applyBorder="1" applyAlignment="1">
      <x:alignment vertical="center" wrapText="1"/>
    </x:xf>
    <x:xf numFmtId="205" fontId="20" fillId="23" borderId="42" xfId="0" applyNumberFormat="1" applyFont="1" applyFill="1" applyBorder="1" applyAlignment="1">
      <x:alignment vertical="center" wrapText="1"/>
    </x:xf>
    <x:xf numFmtId="201" fontId="20" fillId="23" borderId="51" xfId="0" applyNumberFormat="1" applyFont="1" applyFill="1" applyBorder="1" applyAlignment="1">
      <x:alignment vertical="center" wrapText="1"/>
    </x:xf>
    <x:xf numFmtId="201" fontId="20" fillId="23" borderId="35" xfId="0" applyNumberFormat="1" applyFont="1" applyFill="1" applyBorder="1" applyAlignment="1">
      <x:alignment vertical="center" wrapText="1"/>
    </x:xf>
    <x:xf numFmtId="201" fontId="20" fillId="23" borderId="22" xfId="0" applyNumberFormat="1" applyFont="1" applyFill="1" applyBorder="1" applyAlignment="1">
      <x:alignment vertical="center" wrapText="1"/>
    </x:xf>
    <x:xf numFmtId="200" fontId="20" fillId="23" borderId="21" xfId="0" applyNumberFormat="1" applyFont="1" applyFill="1" applyBorder="1" applyAlignment="1">
      <x:alignment vertical="center" wrapText="1"/>
    </x:xf>
    <x:xf numFmtId="200" fontId="20" fillId="23" borderId="22" xfId="0" applyNumberFormat="1" applyFont="1" applyFill="1" applyBorder="1" applyAlignment="1">
      <x:alignment vertical="center" wrapText="1"/>
    </x:xf>
    <x:xf numFmtId="208" fontId="20" fillId="23" borderId="35" xfId="0" applyNumberFormat="1" applyFont="1" applyFill="1" applyBorder="1" applyAlignment="1">
      <x:alignment vertical="center" wrapText="1"/>
    </x:xf>
    <x:xf numFmtId="208" fontId="20" fillId="23" borderId="21" xfId="0" applyNumberFormat="1" applyFont="1" applyFill="1" applyBorder="1" applyAlignment="1">
      <x:alignment vertical="center" wrapText="1"/>
    </x:xf>
    <x:xf numFmtId="208" fontId="20" fillId="23" borderId="22" xfId="0" applyNumberFormat="1" applyFont="1" applyFill="1" applyBorder="1" applyAlignment="1">
      <x:alignment vertical="center" wrapText="1"/>
    </x:xf>
    <x:xf numFmtId="0" fontId="20" fillId="23" borderId="34" xfId="0" applyNumberFormat="1" applyFont="1" applyFill="1" applyBorder="1" applyAlignment="1">
      <x:alignment vertical="center" wrapText="1"/>
    </x:xf>
    <x:xf numFmtId="200" fontId="20" fillId="23" borderId="36" xfId="0" applyNumberFormat="1" applyFont="1" applyFill="1" applyBorder="1" applyAlignment="1">
      <x:alignment vertical="center" wrapText="1"/>
    </x:xf>
    <x:xf numFmtId="200" fontId="20" fillId="23" borderId="50" xfId="0" applyNumberFormat="1" applyFont="1" applyFill="1" applyBorder="1" applyAlignment="1">
      <x:alignment vertical="center" wrapText="1"/>
    </x:xf>
    <x:xf numFmtId="0" fontId="20" fillId="23" borderId="38" xfId="0" applyNumberFormat="1" applyFont="1" applyFill="1" applyBorder="1" applyAlignment="1">
      <x:alignment vertical="center" wrapText="1"/>
    </x:xf>
    <x:xf numFmtId="200" fontId="20" fillId="23" xfId="0" applyNumberFormat="1" applyFont="1" applyFill="1" applyBorder="0" applyAlignment="1">
      <x:alignment vertical="center" wrapText="1"/>
    </x:xf>
    <x:xf numFmtId="200" fontId="20" fillId="23" borderId="16" xfId="0" applyNumberFormat="1" applyFont="1" applyFill="1" applyBorder="1" applyAlignment="1">
      <x:alignment vertical="center" wrapText="1"/>
    </x:xf>
    <x:xf numFmtId="0" fontId="20" fillId="23" borderId="40" xfId="0" applyNumberFormat="1" applyFont="1" applyFill="1" applyBorder="1" applyAlignment="1">
      <x:alignment vertical="center" wrapText="1"/>
    </x:xf>
    <x:xf numFmtId="200" fontId="20" fillId="23" borderId="42" xfId="0" applyNumberFormat="1" applyFont="1" applyFill="1" applyBorder="1" applyAlignment="1">
      <x:alignment vertical="center" wrapText="1"/>
    </x:xf>
    <x:xf numFmtId="200" fontId="20" fillId="23" borderId="51" xfId="0" applyNumberFormat="1" applyFont="1" applyFill="1" applyBorder="1" applyAlignment="1">
      <x:alignment vertical="center" wrapText="1"/>
    </x:xf>
    <x:xf numFmtId="200" fontId="20" fillId="23" borderId="58" xfId="0" applyNumberFormat="1" applyFont="1" applyFill="1" applyBorder="1" applyAlignment="1">
      <x:alignment vertical="center" wrapText="1"/>
    </x:xf>
    <x:xf numFmtId="200" fontId="20" fillId="23" borderId="37" xfId="0" applyNumberFormat="1" applyFont="1" applyFill="1" applyBorder="1" applyAlignment="1">
      <x:alignment vertical="center" wrapText="1"/>
    </x:xf>
    <x:xf numFmtId="200" fontId="20" fillId="23" borderId="15" xfId="0" applyNumberFormat="1" applyFont="1" applyFill="1" applyBorder="1" applyAlignment="1">
      <x:alignment vertical="center" wrapText="1"/>
    </x:xf>
    <x:xf numFmtId="200" fontId="20" fillId="23" borderId="39" xfId="0" applyNumberFormat="1" applyFont="1" applyFill="1" applyBorder="1" applyAlignment="1">
      <x:alignment vertical="center" wrapText="1"/>
    </x:xf>
    <x:xf numFmtId="200" fontId="20" fillId="23" borderId="59" xfId="0" applyNumberFormat="1" applyFont="1" applyFill="1" applyBorder="1" applyAlignment="1">
      <x:alignment vertical="center" wrapText="1"/>
    </x:xf>
    <x:xf numFmtId="200" fontId="20" fillId="23" borderId="43" xfId="0" applyNumberFormat="1" applyFont="1" applyFill="1" applyBorder="1" applyAlignment="1">
      <x:alignment vertical="center" wrapText="1"/>
    </x:xf>
    <x:xf numFmtId="0" fontId="20" fillId="23" borderId="36" xfId="0" applyNumberFormat="1" applyFont="1" applyFill="1" applyBorder="1" applyAlignment="1">
      <x:alignment vertical="center" wrapText="1"/>
    </x:xf>
    <x:xf numFmtId="0" fontId="20" fillId="23" borderId="37" xfId="0" applyNumberFormat="1" applyFont="1" applyFill="1" applyBorder="1" applyAlignment="1">
      <x:alignment vertical="center" wrapText="1"/>
    </x:xf>
    <x:xf numFmtId="0" fontId="20" fillId="23" xfId="0" applyNumberFormat="1" applyFont="1" applyFill="1" applyBorder="0" applyAlignment="1">
      <x:alignment vertical="center" wrapText="1"/>
    </x:xf>
    <x:xf numFmtId="0" fontId="20" fillId="23" borderId="39" xfId="0" applyNumberFormat="1" applyFont="1" applyFill="1" applyBorder="1" applyAlignment="1">
      <x:alignment vertical="center" wrapText="1"/>
    </x:xf>
    <x:xf numFmtId="0" fontId="20" fillId="23" borderId="42" xfId="0" applyNumberFormat="1" applyFont="1" applyFill="1" applyBorder="1" applyAlignment="1">
      <x:alignment vertical="center" wrapText="1"/>
    </x:xf>
    <x:xf numFmtId="0" fontId="20" fillId="23" borderId="43" xfId="0" applyNumberFormat="1" applyFont="1" applyFill="1" applyBorder="1" applyAlignment="1">
      <x:alignment vertical="center" wrapText="1"/>
    </x:xf>
    <x:xf numFmtId="0" fontId="13" fillId="24" borderId="0" xfId="0" applyNumberFormat="1" applyFont="1" applyFill="1" applyBorder="1" applyAlignment="1">
      <x:alignment horizontal="left" vertical="center" wrapText="1"/>
    </x:xf>
    <x:xf numFmtId="0" fontId="14" fillId="24" borderId="0" xfId="0" applyNumberFormat="1" applyFont="1" applyFill="1" applyBorder="1" applyAlignment="1">
      <x:alignment horizontal="left" vertical="center" wrapText="1"/>
    </x:xf>
    <x:xf numFmtId="0" fontId="3" fillId="24" borderId="0" xfId="0" applyNumberFormat="1" applyFont="1" applyFill="1" applyBorder="1"/>
    <x:xf numFmtId="0" fontId="27" fillId="24" borderId="0" xfId="0" applyNumberFormat="1" applyFont="1" applyFill="1" applyBorder="1" applyAlignment="1">
      <x:alignment horizontal="left" vertical="center" wrapText="1"/>
    </x:xf>
    <x:xf numFmtId="0" fontId="28" fillId="24" borderId="0" xfId="0" applyNumberFormat="1" applyFont="1" applyFill="1" applyBorder="1"/>
    <x:xf numFmtId="0" fontId="28" fillId="24" borderId="0" xfId="0" applyNumberFormat="1" applyFont="1" applyFill="1" applyBorder="1" applyAlignment="1">
      <x:alignment horizontal="left"/>
    </x:xf>
    <x:xf numFmtId="0" fontId="28" fillId="24" borderId="0" xfId="0" applyNumberFormat="1" applyFont="1" applyFill="1" applyBorder="1" applyAlignment="1">
      <x:alignment horizontal="left" vertical="center"/>
    </x:xf>
    <x:xf numFmtId="0" fontId="25" fillId="25" borderId="0" xfId="0" applyNumberFormat="1" applyFont="1" applyFill="1" applyBorder="1" applyAlignment="1">
      <x:alignment vertical="center" wrapText="1"/>
    </x:xf>
    <x:xf numFmtId="0" fontId="26" fillId="25" borderId="0" xfId="0" applyNumberFormat="1" applyFont="1" applyFill="1" applyBorder="1"/>
    <x:xf numFmtId="0" fontId="26" fillId="25" borderId="0" xfId="0" applyNumberFormat="1" applyFont="1" applyFill="1" applyBorder="1" applyAlignment="1">
      <x:alignment wrapText="1"/>
    </x:xf>
    <x:xf numFmtId="0" fontId="26" fillId="25" borderId="0" xfId="0" applyNumberFormat="1" applyFont="1" applyFill="1" applyBorder="1" applyAlignment="1">
      <x:alignment vertical="center" wrapText="1"/>
    </x:xf>
    <x:xf numFmtId="0" fontId="9" fillId="24" borderId="0" xfId="0" applyNumberFormat="1" applyFont="1" applyFill="1" applyBorder="1" applyAlignment="1">
      <x:alignment horizontal="left" vertical="center" wrapText="1"/>
    </x:xf>
    <x:xf numFmtId="0" fontId="10" fillId="25" borderId="0" xfId="0" applyNumberFormat="1" applyFont="1" applyFill="1" applyBorder="1" applyAlignment="1">
      <x:alignment vertical="center" wrapText="1"/>
    </x:xf>
    <x:xf numFmtId="0" fontId="29" fillId="25" borderId="0" xfId="0" applyNumberFormat="1" applyFont="1" applyFill="1" applyBorder="1" applyAlignment="1">
      <x:alignment vertical="center" wrapText="1"/>
    </x:xf>
    <x:xf numFmtId="0" fontId="11" fillId="6" borderId="6" xfId="0" applyNumberFormat="1" applyFont="1" applyFill="1" applyBorder="1" applyAlignment="1">
      <x:alignment vertical="top" wrapText="1"/>
    </x:xf>
    <x:xf numFmtId="0" fontId="11" fillId="6" borderId="8" xfId="0" applyNumberFormat="1" applyFont="1" applyFill="1" applyBorder="1" applyAlignment="1">
      <x:alignment vertical="top" wrapText="1"/>
    </x:xf>
    <x:xf numFmtId="0" fontId="11" fillId="6" borderId="11" xfId="0" applyNumberFormat="1" applyFont="1" applyFill="1" applyBorder="1" applyAlignment="1">
      <x:alignment vertical="top" wrapText="1"/>
    </x:xf>
    <x:xf numFmtId="0" fontId="11" fillId="6" borderId="36" xfId="0" applyNumberFormat="1" applyFont="1" applyFill="1" applyBorder="1" applyAlignment="1">
      <x:alignment vertical="top" wrapText="1"/>
    </x:xf>
    <x:xf numFmtId="0" fontId="23" fillId="14" borderId="37" xfId="0" applyNumberFormat="1" applyFont="1" applyFill="1" applyBorder="1" applyAlignment="1">
      <x:alignment vertical="top" wrapText="1"/>
    </x:xf>
    <x:xf numFmtId="0" fontId="11" fillId="6" xfId="0" applyNumberFormat="1" applyFont="1" applyFill="1" applyBorder="0" applyAlignment="1">
      <x:alignment vertical="top" wrapText="1"/>
    </x:xf>
    <x:xf numFmtId="0" fontId="23" fillId="14" borderId="39" xfId="0" applyNumberFormat="1" applyFont="1" applyFill="1" applyBorder="1" applyAlignment="1">
      <x:alignment vertical="top" wrapText="1"/>
    </x:xf>
    <x:xf numFmtId="0" fontId="11" fillId="6" borderId="42" xfId="0" applyNumberFormat="1" applyFont="1" applyFill="1" applyBorder="1" applyAlignment="1">
      <x:alignment vertical="top" wrapText="1"/>
    </x:xf>
    <x:xf numFmtId="0" fontId="23" fillId="14" borderId="43" xfId="0" applyNumberFormat="1" applyFont="1" applyFill="1" applyBorder="1" applyAlignment="1">
      <x:alignment vertical="top" wrapText="1"/>
    </x:xf>
    <x:xf numFmtId="0" fontId="11" fillId="6" borderId="5" xfId="0" applyNumberFormat="1" applyFont="1" applyFill="1" applyBorder="1" applyAlignment="1">
      <x:alignment vertical="top" wrapText="1"/>
    </x:xf>
    <x:xf numFmtId="0" fontId="11" fillId="6" borderId="0" xfId="0" applyNumberFormat="1" applyFont="1" applyFill="1" applyBorder="1" applyAlignment="1">
      <x:alignment vertical="top" wrapText="1"/>
    </x:xf>
    <x:xf numFmtId="0" fontId="11" fillId="6" borderId="10" xfId="0" applyNumberFormat="1" applyFont="1" applyFill="1" applyBorder="1" applyAlignment="1">
      <x:alignment vertical="top" wrapText="1"/>
    </x:xf>
    <x:xf numFmtId="0" fontId="20" fillId="26" borderId="31" xfId="0" applyNumberFormat="1" applyFont="1" applyFill="1" applyBorder="1" applyAlignment="1">
      <x:alignment vertical="center" wrapText="1"/>
    </x:xf>
    <x:xf numFmtId="0" fontId="20" fillId="26" borderId="32" xfId="0" applyNumberFormat="1" applyFont="1" applyFill="1" applyBorder="1" applyAlignment="1">
      <x:alignment vertical="center" wrapText="1"/>
    </x:xf>
    <x:xf numFmtId="0" fontId="20" fillId="26" borderId="33" xfId="0" applyNumberFormat="1" applyFont="1" applyFill="1" applyBorder="1" applyAlignment="1">
      <x:alignment vertical="center" wrapText="1"/>
    </x:xf>
    <x:xf numFmtId="200" fontId="22" fillId="27" borderId="34" xfId="0" applyNumberFormat="1" applyFont="1" applyFill="1" applyBorder="1" applyAlignment="1">
      <x:alignment vertical="center" wrapText="1"/>
    </x:xf>
    <x:xf numFmtId="201" fontId="22" fillId="27" borderId="38" xfId="0" applyNumberFormat="1" applyFont="1" applyFill="1" applyBorder="1" applyAlignment="1">
      <x:alignment vertical="center" wrapText="1"/>
    </x:xf>
    <x:xf numFmtId="202" fontId="22" fillId="27" borderId="38" xfId="0" applyNumberFormat="1" applyFont="1" applyFill="1" applyBorder="1" applyAlignment="1">
      <x:alignment vertical="center" wrapText="1"/>
    </x:xf>
    <x:xf numFmtId="203" fontId="22" fillId="27" borderId="38" xfId="0" applyNumberFormat="1" applyFont="1" applyFill="1" applyBorder="1" applyAlignment="1">
      <x:alignment vertical="center" wrapText="1"/>
    </x:xf>
    <x:xf numFmtId="204" fontId="22" fillId="27" borderId="38" xfId="0" applyNumberFormat="1" applyFont="1" applyFill="1" applyBorder="1" applyAlignment="1">
      <x:alignment vertical="center" wrapText="1"/>
    </x:xf>
    <x:xf numFmtId="205" fontId="22" fillId="27" borderId="38" xfId="0" applyNumberFormat="1" applyFont="1" applyFill="1" applyBorder="1" applyAlignment="1">
      <x:alignment vertical="center" wrapText="1"/>
    </x:xf>
    <x:xf numFmtId="201" fontId="22" fillId="27" borderId="40" xfId="0" applyNumberFormat="1" applyFont="1" applyFill="1" applyBorder="1" applyAlignment="1">
      <x:alignment vertical="center" wrapText="1"/>
    </x:xf>
    <x:xf numFmtId="0" fontId="23" fillId="28" borderId="37" xfId="0" applyNumberFormat="1" applyFont="1" applyFill="1" applyBorder="1" applyAlignment="1">
      <x:alignment vertical="top" wrapText="1"/>
    </x:xf>
    <x:xf numFmtId="0" fontId="23" fillId="28" borderId="39" xfId="0" applyNumberFormat="1" applyFont="1" applyFill="1" applyBorder="1" applyAlignment="1">
      <x:alignment vertical="top" wrapText="1"/>
    </x:xf>
    <x:xf numFmtId="0" fontId="23" fillId="28" borderId="43" xfId="0" applyNumberFormat="1" applyFont="1" applyFill="1" applyBorder="1" applyAlignment="1">
      <x:alignment vertical="top" wrapText="1"/>
    </x:xf>
    <x:xf numFmtId="0" fontId="23" fillId="28" borderId="37" xfId="0" applyNumberFormat="1" applyFont="1" applyFill="1" applyBorder="1" applyAlignment="1">
      <x:alignment vertical="center" wrapText="1"/>
    </x:xf>
    <x:xf numFmtId="0" fontId="23" fillId="28" borderId="39" xfId="0" applyNumberFormat="1" applyFont="1" applyFill="1" applyBorder="1" applyAlignment="1">
      <x:alignment vertical="center" wrapText="1"/>
    </x:xf>
    <x:xf numFmtId="0" fontId="23" fillId="28" borderId="43" xfId="0" applyNumberFormat="1" applyFont="1" applyFill="1" applyBorder="1" applyAlignment="1">
      <x:alignment vertical="center" wrapText="1"/>
    </x:xf>
    <x:xf numFmtId="0" fontId="23" fillId="28" borderId="34" xfId="0" applyNumberFormat="1" applyFont="1" applyFill="1" applyBorder="1" applyAlignment="1">
      <x:alignment vertical="center" wrapText="1"/>
    </x:xf>
    <x:xf numFmtId="0" fontId="23" fillId="28" borderId="38" xfId="0" applyNumberFormat="1" applyFont="1" applyFill="1" applyBorder="1" applyAlignment="1">
      <x:alignment vertical="center" wrapText="1"/>
    </x:xf>
    <x:xf numFmtId="0" fontId="23" fillId="28" borderId="40" xfId="0" applyNumberFormat="1" applyFont="1" applyFill="1" applyBorder="1" applyAlignment="1">
      <x:alignment vertical="center" wrapText="1"/>
    </x:xf>
    <x:xf numFmtId="0" fontId="14" fillId="29" borderId="0" xfId="0" applyNumberFormat="1" applyFont="1" applyFill="1" applyBorder="1" applyAlignment="1">
      <x:alignment horizontal="center" vertical="center" wrapText="1"/>
    </x:xf>
    <x:xf numFmtId="0" fontId="3" fillId="29" borderId="0" xfId="0" applyNumberFormat="1" applyFont="1" applyFill="1" applyBorder="1" applyAlignment="1">
      <x:alignment horizontal="center"/>
    </x:xf>
    <x:xf numFmtId="0" fontId="15" fillId="30" borderId="28" xfId="0" applyNumberFormat="1" applyFont="1" applyFill="1" applyBorder="1" applyAlignment="1">
      <x:alignment vertical="center" wrapText="1"/>
    </x:xf>
    <x:xf numFmtId="0" fontId="19" fillId="30" borderId="29" xfId="0" applyNumberFormat="1" applyFont="1" applyFill="1" applyBorder="1" applyAlignment="1">
      <x:alignment wrapText="1"/>
    </x:xf>
    <x:xf numFmtId="0" fontId="19" fillId="30" borderId="30" xfId="0" applyNumberFormat="1" applyFont="1" applyFill="1" applyBorder="1" applyAlignment="1">
      <x:alignment wrapText="1"/>
    </x:xf>
    <x:xf numFmtId="0" fontId="20" fillId="31" borderId="31" xfId="0" applyNumberFormat="1" applyFont="1" applyFill="1" applyBorder="1" applyAlignment="1">
      <x:alignment vertical="center" wrapText="1"/>
    </x:xf>
    <x:xf numFmtId="0" fontId="20" fillId="31" borderId="32" xfId="0" applyNumberFormat="1" applyFont="1" applyFill="1" applyBorder="1" applyAlignment="1">
      <x:alignment vertical="center" wrapText="1"/>
    </x:xf>
    <x:xf numFmtId="0" fontId="20" fillId="31" borderId="33" xfId="0" applyNumberFormat="1" applyFont="1" applyFill="1" applyBorder="1" applyAlignment="1">
      <x:alignment vertical="center" wrapText="1"/>
    </x:xf>
    <x:xf numFmtId="200" fontId="20" fillId="31" borderId="35" xfId="0" applyNumberFormat="1" applyFont="1" applyFill="1" applyBorder="1" applyAlignment="1">
      <x:alignment vertical="center" wrapText="1"/>
    </x:xf>
    <x:xf numFmtId="201" fontId="20" fillId="31" borderId="21" xfId="0" applyNumberFormat="1" applyFont="1" applyFill="1" applyBorder="1" applyAlignment="1">
      <x:alignment vertical="center" wrapText="1"/>
    </x:xf>
    <x:xf numFmtId="202" fontId="20" fillId="31" borderId="21" xfId="0" applyNumberFormat="1" applyFont="1" applyFill="1" applyBorder="1" applyAlignment="1">
      <x:alignment vertical="center" wrapText="1"/>
    </x:xf>
    <x:xf numFmtId="203" fontId="20" fillId="31" borderId="21" xfId="0" applyNumberFormat="1" applyFont="1" applyFill="1" applyBorder="1" applyAlignment="1">
      <x:alignment vertical="center" wrapText="1"/>
    </x:xf>
    <x:xf numFmtId="204" fontId="20" fillId="31" borderId="21" xfId="0" applyNumberFormat="1" applyFont="1" applyFill="1" applyBorder="1" applyAlignment="1">
      <x:alignment vertical="center" wrapText="1"/>
    </x:xf>
    <x:xf numFmtId="205" fontId="20" fillId="31" borderId="21" xfId="0" applyNumberFormat="1" applyFont="1" applyFill="1" applyBorder="1" applyAlignment="1">
      <x:alignment vertical="center" wrapText="1"/>
    </x:xf>
    <x:xf numFmtId="201" fontId="20" fillId="31" borderId="41" xfId="0" applyNumberFormat="1" applyFont="1" applyFill="1" applyBorder="1" applyAlignment="1">
      <x:alignment vertical="center" wrapText="1"/>
    </x:xf>
    <x:xf numFmtId="200" fontId="20" fillId="31" borderId="34" xfId="0" applyNumberFormat="1" applyFont="1" applyFill="1" applyBorder="1" applyAlignment="1">
      <x:alignment vertical="center" wrapText="1"/>
    </x:xf>
    <x:xf numFmtId="201" fontId="20" fillId="31" borderId="36" xfId="0" applyNumberFormat="1" applyFont="1" applyFill="1" applyBorder="1" applyAlignment="1">
      <x:alignment vertical="center" wrapText="1"/>
    </x:xf>
    <x:xf numFmtId="202" fontId="20" fillId="31" borderId="36" xfId="0" applyNumberFormat="1" applyFont="1" applyFill="1" applyBorder="1" applyAlignment="1">
      <x:alignment vertical="center" wrapText="1"/>
    </x:xf>
    <x:xf numFmtId="203" fontId="20" fillId="31" borderId="36" xfId="0" applyNumberFormat="1" applyFont="1" applyFill="1" applyBorder="1" applyAlignment="1">
      <x:alignment vertical="center" wrapText="1"/>
    </x:xf>
    <x:xf numFmtId="204" fontId="20" fillId="31" borderId="36" xfId="0" applyNumberFormat="1" applyFont="1" applyFill="1" applyBorder="1" applyAlignment="1">
      <x:alignment vertical="center" wrapText="1"/>
    </x:xf>
    <x:xf numFmtId="205" fontId="20" fillId="31" borderId="36" xfId="0" applyNumberFormat="1" applyFont="1" applyFill="1" applyBorder="1" applyAlignment="1">
      <x:alignment vertical="center" wrapText="1"/>
    </x:xf>
    <x:xf numFmtId="201" fontId="20" fillId="31" borderId="50" xfId="0" applyNumberFormat="1" applyFont="1" applyFill="1" applyBorder="1" applyAlignment="1">
      <x:alignment vertical="center" wrapText="1"/>
    </x:xf>
    <x:xf numFmtId="200" fontId="20" fillId="31" borderId="38" xfId="0" applyNumberFormat="1" applyFont="1" applyFill="1" applyBorder="1" applyAlignment="1">
      <x:alignment vertical="center" wrapText="1"/>
    </x:xf>
    <x:xf numFmtId="201" fontId="20" fillId="31" xfId="0" applyNumberFormat="1" applyFont="1" applyFill="1" applyBorder="0" applyAlignment="1">
      <x:alignment vertical="center" wrapText="1"/>
    </x:xf>
    <x:xf numFmtId="202" fontId="20" fillId="31" xfId="0" applyNumberFormat="1" applyFont="1" applyFill="1" applyBorder="0" applyAlignment="1">
      <x:alignment vertical="center" wrapText="1"/>
    </x:xf>
    <x:xf numFmtId="203" fontId="20" fillId="31" xfId="0" applyNumberFormat="1" applyFont="1" applyFill="1" applyBorder="0" applyAlignment="1">
      <x:alignment vertical="center" wrapText="1"/>
    </x:xf>
    <x:xf numFmtId="204" fontId="20" fillId="31" xfId="0" applyNumberFormat="1" applyFont="1" applyFill="1" applyBorder="0" applyAlignment="1">
      <x:alignment vertical="center" wrapText="1"/>
    </x:xf>
    <x:xf numFmtId="205" fontId="20" fillId="31" xfId="0" applyNumberFormat="1" applyFont="1" applyFill="1" applyBorder="0" applyAlignment="1">
      <x:alignment vertical="center" wrapText="1"/>
    </x:xf>
    <x:xf numFmtId="201" fontId="20" fillId="31" borderId="16" xfId="0" applyNumberFormat="1" applyFont="1" applyFill="1" applyBorder="1" applyAlignment="1">
      <x:alignment vertical="center" wrapText="1"/>
    </x:xf>
    <x:xf numFmtId="200" fontId="20" fillId="31" borderId="40" xfId="0" applyNumberFormat="1" applyFont="1" applyFill="1" applyBorder="1" applyAlignment="1">
      <x:alignment vertical="center" wrapText="1"/>
    </x:xf>
    <x:xf numFmtId="201" fontId="20" fillId="31" borderId="42" xfId="0" applyNumberFormat="1" applyFont="1" applyFill="1" applyBorder="1" applyAlignment="1">
      <x:alignment vertical="center" wrapText="1"/>
    </x:xf>
    <x:xf numFmtId="202" fontId="20" fillId="31" borderId="42" xfId="0" applyNumberFormat="1" applyFont="1" applyFill="1" applyBorder="1" applyAlignment="1">
      <x:alignment vertical="center" wrapText="1"/>
    </x:xf>
    <x:xf numFmtId="203" fontId="20" fillId="31" borderId="42" xfId="0" applyNumberFormat="1" applyFont="1" applyFill="1" applyBorder="1" applyAlignment="1">
      <x:alignment vertical="center" wrapText="1"/>
    </x:xf>
    <x:xf numFmtId="204" fontId="20" fillId="31" borderId="42" xfId="0" applyNumberFormat="1" applyFont="1" applyFill="1" applyBorder="1" applyAlignment="1">
      <x:alignment vertical="center" wrapText="1"/>
    </x:xf>
    <x:xf numFmtId="205" fontId="20" fillId="31" borderId="42" xfId="0" applyNumberFormat="1" applyFont="1" applyFill="1" applyBorder="1" applyAlignment="1">
      <x:alignment vertical="center" wrapText="1"/>
    </x:xf>
    <x:xf numFmtId="201" fontId="20" fillId="31" borderId="51" xfId="0" applyNumberFormat="1" applyFont="1" applyFill="1" applyBorder="1" applyAlignment="1">
      <x:alignment vertical="center" wrapText="1"/>
    </x:xf>
    <x:xf numFmtId="201" fontId="20" fillId="31" borderId="35" xfId="0" applyNumberFormat="1" applyFont="1" applyFill="1" applyBorder="1" applyAlignment="1">
      <x:alignment vertical="center" wrapText="1"/>
    </x:xf>
    <x:xf numFmtId="201" fontId="20" fillId="31" borderId="22" xfId="0" applyNumberFormat="1" applyFont="1" applyFill="1" applyBorder="1" applyAlignment="1">
      <x:alignment vertical="center" wrapText="1"/>
    </x:xf>
    <x:xf numFmtId="200" fontId="20" fillId="31" borderId="21" xfId="0" applyNumberFormat="1" applyFont="1" applyFill="1" applyBorder="1" applyAlignment="1">
      <x:alignment vertical="center" wrapText="1"/>
    </x:xf>
    <x:xf numFmtId="200" fontId="20" fillId="31" borderId="22" xfId="0" applyNumberFormat="1" applyFont="1" applyFill="1" applyBorder="1" applyAlignment="1">
      <x:alignment vertical="center" wrapText="1"/>
    </x:xf>
    <x:xf numFmtId="208" fontId="20" fillId="31" borderId="35" xfId="0" applyNumberFormat="1" applyFont="1" applyFill="1" applyBorder="1" applyAlignment="1">
      <x:alignment vertical="center" wrapText="1"/>
    </x:xf>
    <x:xf numFmtId="208" fontId="20" fillId="31" borderId="21" xfId="0" applyNumberFormat="1" applyFont="1" applyFill="1" applyBorder="1" applyAlignment="1">
      <x:alignment vertical="center" wrapText="1"/>
    </x:xf>
    <x:xf numFmtId="208" fontId="20" fillId="31" borderId="22" xfId="0" applyNumberFormat="1" applyFont="1" applyFill="1" applyBorder="1" applyAlignment="1">
      <x:alignment vertical="center" wrapText="1"/>
    </x:xf>
    <x:xf numFmtId="0" fontId="20" fillId="31" borderId="34" xfId="0" applyNumberFormat="1" applyFont="1" applyFill="1" applyBorder="1" applyAlignment="1">
      <x:alignment vertical="center" wrapText="1"/>
    </x:xf>
    <x:xf numFmtId="200" fontId="20" fillId="31" borderId="36" xfId="0" applyNumberFormat="1" applyFont="1" applyFill="1" applyBorder="1" applyAlignment="1">
      <x:alignment vertical="center" wrapText="1"/>
    </x:xf>
    <x:xf numFmtId="200" fontId="20" fillId="31" borderId="50" xfId="0" applyNumberFormat="1" applyFont="1" applyFill="1" applyBorder="1" applyAlignment="1">
      <x:alignment vertical="center" wrapText="1"/>
    </x:xf>
    <x:xf numFmtId="0" fontId="20" fillId="31" borderId="38" xfId="0" applyNumberFormat="1" applyFont="1" applyFill="1" applyBorder="1" applyAlignment="1">
      <x:alignment vertical="center" wrapText="1"/>
    </x:xf>
    <x:xf numFmtId="200" fontId="20" fillId="31" xfId="0" applyNumberFormat="1" applyFont="1" applyFill="1" applyBorder="0" applyAlignment="1">
      <x:alignment vertical="center" wrapText="1"/>
    </x:xf>
    <x:xf numFmtId="200" fontId="20" fillId="31" borderId="16" xfId="0" applyNumberFormat="1" applyFont="1" applyFill="1" applyBorder="1" applyAlignment="1">
      <x:alignment vertical="center" wrapText="1"/>
    </x:xf>
    <x:xf numFmtId="0" fontId="20" fillId="31" borderId="40" xfId="0" applyNumberFormat="1" applyFont="1" applyFill="1" applyBorder="1" applyAlignment="1">
      <x:alignment vertical="center" wrapText="1"/>
    </x:xf>
    <x:xf numFmtId="200" fontId="20" fillId="31" borderId="42" xfId="0" applyNumberFormat="1" applyFont="1" applyFill="1" applyBorder="1" applyAlignment="1">
      <x:alignment vertical="center" wrapText="1"/>
    </x:xf>
    <x:xf numFmtId="200" fontId="20" fillId="31" borderId="51" xfId="0" applyNumberFormat="1" applyFont="1" applyFill="1" applyBorder="1" applyAlignment="1">
      <x:alignment vertical="center" wrapText="1"/>
    </x:xf>
    <x:xf numFmtId="200" fontId="20" fillId="31" borderId="58" xfId="0" applyNumberFormat="1" applyFont="1" applyFill="1" applyBorder="1" applyAlignment="1">
      <x:alignment vertical="center" wrapText="1"/>
    </x:xf>
    <x:xf numFmtId="200" fontId="20" fillId="31" borderId="37" xfId="0" applyNumberFormat="1" applyFont="1" applyFill="1" applyBorder="1" applyAlignment="1">
      <x:alignment vertical="center" wrapText="1"/>
    </x:xf>
    <x:xf numFmtId="200" fontId="20" fillId="31" borderId="15" xfId="0" applyNumberFormat="1" applyFont="1" applyFill="1" applyBorder="1" applyAlignment="1">
      <x:alignment vertical="center" wrapText="1"/>
    </x:xf>
    <x:xf numFmtId="200" fontId="20" fillId="31" borderId="39" xfId="0" applyNumberFormat="1" applyFont="1" applyFill="1" applyBorder="1" applyAlignment="1">
      <x:alignment vertical="center" wrapText="1"/>
    </x:xf>
    <x:xf numFmtId="200" fontId="20" fillId="31" borderId="59" xfId="0" applyNumberFormat="1" applyFont="1" applyFill="1" applyBorder="1" applyAlignment="1">
      <x:alignment vertical="center" wrapText="1"/>
    </x:xf>
    <x:xf numFmtId="200" fontId="20" fillId="31" borderId="43" xfId="0" applyNumberFormat="1" applyFont="1" applyFill="1" applyBorder="1" applyAlignment="1">
      <x:alignment vertical="center" wrapText="1"/>
    </x:xf>
    <x:xf numFmtId="0" fontId="20" fillId="31" borderId="36" xfId="0" applyNumberFormat="1" applyFont="1" applyFill="1" applyBorder="1" applyAlignment="1">
      <x:alignment vertical="center" wrapText="1"/>
    </x:xf>
    <x:xf numFmtId="0" fontId="20" fillId="31" borderId="37" xfId="0" applyNumberFormat="1" applyFont="1" applyFill="1" applyBorder="1" applyAlignment="1">
      <x:alignment vertical="center" wrapText="1"/>
    </x:xf>
    <x:xf numFmtId="0" fontId="20" fillId="31" xfId="0" applyNumberFormat="1" applyFont="1" applyFill="1" applyBorder="0" applyAlignment="1">
      <x:alignment vertical="center" wrapText="1"/>
    </x:xf>
    <x:xf numFmtId="0" fontId="20" fillId="31" borderId="39" xfId="0" applyNumberFormat="1" applyFont="1" applyFill="1" applyBorder="1" applyAlignment="1">
      <x:alignment vertical="center" wrapText="1"/>
    </x:xf>
    <x:xf numFmtId="0" fontId="20" fillId="31" borderId="42" xfId="0" applyNumberFormat="1" applyFont="1" applyFill="1" applyBorder="1" applyAlignment="1">
      <x:alignment vertical="center" wrapText="1"/>
    </x:xf>
    <x:xf numFmtId="0" fontId="20" fillId="31" borderId="43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horizontal="left" vertical="center" wrapText="1"/>
    </x:xf>
    <x:xf numFmtId="0" fontId="28" fillId="2" borderId="0" xfId="0" applyNumberFormat="1" applyFont="1" applyFill="1" applyBorder="1" applyAlignment="1">
      <x:alignment horizontal="left" vertical="center"/>
    </x:xf>
    <x:xf numFmtId="0" fontId="26" fillId="3" borderId="0" xfId="0" applyNumberFormat="1" applyFont="1" applyFill="1" applyBorder="1" applyAlignment="1">
      <x:alignment vertical="center" wrapText="1"/>
    </x:xf>
    <x:xf numFmtId="0" fontId="27" fillId="32" borderId="0" xfId="0" applyNumberFormat="1" applyFont="1" applyFill="1" applyBorder="1" applyAlignment="1">
      <x:alignment horizontal="left" vertical="center" wrapText="1"/>
    </x:xf>
    <x:xf numFmtId="0" fontId="28" fillId="32" borderId="0" xfId="0" applyNumberFormat="1" applyFont="1" applyFill="1" applyBorder="1" applyAlignment="1">
      <x:alignment horizontal="left" vertical="center"/>
    </x:xf>
    <x:xf numFmtId="0" fontId="25" fillId="33" borderId="0" xfId="0" applyNumberFormat="1" applyFont="1" applyFill="1" applyBorder="1" applyAlignment="1">
      <x:alignment vertical="center" wrapText="1"/>
    </x:xf>
    <x:xf numFmtId="0" fontId="26" fillId="33" borderId="0" xfId="0" applyNumberFormat="1" applyFont="1" applyFill="1" applyBorder="1" applyAlignment="1">
      <x:alignment vertical="center" wrapText="1"/>
    </x:xf>
    <x:xf numFmtId="0" fontId="29" fillId="33" borderId="0" xfId="0" applyNumberFormat="1" applyFont="1" applyFill="1" applyBorder="1" applyAlignment="1">
      <x:alignment vertical="center" wrapText="1"/>
    </x:xf>
    <x:xf numFmtId="0" fontId="20" fillId="34" borderId="31" xfId="0" applyNumberFormat="1" applyFont="1" applyFill="1" applyBorder="1" applyAlignment="1">
      <x:alignment vertical="center" wrapText="1"/>
    </x:xf>
    <x:xf numFmtId="0" fontId="20" fillId="34" borderId="32" xfId="0" applyNumberFormat="1" applyFont="1" applyFill="1" applyBorder="1" applyAlignment="1">
      <x:alignment vertical="center" wrapText="1"/>
    </x:xf>
    <x:xf numFmtId="0" fontId="20" fillId="34" borderId="33" xfId="0" applyNumberFormat="1" applyFont="1" applyFill="1" applyBorder="1" applyAlignment="1">
      <x:alignment vertical="center" wrapText="1"/>
    </x:xf>
    <x:xf numFmtId="200" fontId="22" fillId="35" borderId="34" xfId="0" applyNumberFormat="1" applyFont="1" applyFill="1" applyBorder="1" applyAlignment="1">
      <x:alignment vertical="center" wrapText="1"/>
    </x:xf>
    <x:xf numFmtId="201" fontId="22" fillId="35" borderId="38" xfId="0" applyNumberFormat="1" applyFont="1" applyFill="1" applyBorder="1" applyAlignment="1">
      <x:alignment vertical="center" wrapText="1"/>
    </x:xf>
    <x:xf numFmtId="202" fontId="22" fillId="35" borderId="38" xfId="0" applyNumberFormat="1" applyFont="1" applyFill="1" applyBorder="1" applyAlignment="1">
      <x:alignment vertical="center" wrapText="1"/>
    </x:xf>
    <x:xf numFmtId="203" fontId="22" fillId="35" borderId="38" xfId="0" applyNumberFormat="1" applyFont="1" applyFill="1" applyBorder="1" applyAlignment="1">
      <x:alignment vertical="center" wrapText="1"/>
    </x:xf>
    <x:xf numFmtId="204" fontId="22" fillId="35" borderId="38" xfId="0" applyNumberFormat="1" applyFont="1" applyFill="1" applyBorder="1" applyAlignment="1">
      <x:alignment vertical="center" wrapText="1"/>
    </x:xf>
    <x:xf numFmtId="205" fontId="22" fillId="35" borderId="38" xfId="0" applyNumberFormat="1" applyFont="1" applyFill="1" applyBorder="1" applyAlignment="1">
      <x:alignment vertical="center" wrapText="1"/>
    </x:xf>
    <x:xf numFmtId="201" fontId="22" fillId="35" borderId="40" xfId="0" applyNumberFormat="1" applyFont="1" applyFill="1" applyBorder="1" applyAlignment="1">
      <x:alignment vertical="center" wrapText="1"/>
    </x:xf>
    <x:xf numFmtId="0" fontId="23" fillId="36" borderId="37" xfId="0" applyNumberFormat="1" applyFont="1" applyFill="1" applyBorder="1" applyAlignment="1">
      <x:alignment vertical="top" wrapText="1"/>
    </x:xf>
    <x:xf numFmtId="0" fontId="23" fillId="36" borderId="39" xfId="0" applyNumberFormat="1" applyFont="1" applyFill="1" applyBorder="1" applyAlignment="1">
      <x:alignment vertical="top" wrapText="1"/>
    </x:xf>
    <x:xf numFmtId="0" fontId="23" fillId="36" borderId="43" xfId="0" applyNumberFormat="1" applyFont="1" applyFill="1" applyBorder="1" applyAlignment="1">
      <x:alignment vertical="top" wrapText="1"/>
    </x:xf>
    <x:xf numFmtId="0" fontId="23" fillId="36" borderId="37" xfId="0" applyNumberFormat="1" applyFont="1" applyFill="1" applyBorder="1" applyAlignment="1">
      <x:alignment vertical="center" wrapText="1"/>
    </x:xf>
    <x:xf numFmtId="0" fontId="23" fillId="36" borderId="39" xfId="0" applyNumberFormat="1" applyFont="1" applyFill="1" applyBorder="1" applyAlignment="1">
      <x:alignment vertical="center" wrapText="1"/>
    </x:xf>
    <x:xf numFmtId="0" fontId="23" fillId="36" borderId="43" xfId="0" applyNumberFormat="1" applyFont="1" applyFill="1" applyBorder="1" applyAlignment="1">
      <x:alignment vertical="center" wrapText="1"/>
    </x:xf>
    <x:xf numFmtId="0" fontId="23" fillId="36" borderId="34" xfId="0" applyNumberFormat="1" applyFont="1" applyFill="1" applyBorder="1" applyAlignment="1">
      <x:alignment vertical="center" wrapText="1"/>
    </x:xf>
    <x:xf numFmtId="0" fontId="23" fillId="36" borderId="38" xfId="0" applyNumberFormat="1" applyFont="1" applyFill="1" applyBorder="1" applyAlignment="1">
      <x:alignment vertical="center" wrapText="1"/>
    </x:xf>
    <x:xf numFmtId="0" fontId="23" fillId="36" borderId="40" xfId="0" applyNumberFormat="1" applyFont="1" applyFill="1" applyBorder="1" applyAlignment="1">
      <x:alignment vertical="center" wrapText="1"/>
    </x:xf>
    <x:xf numFmtId="0" fontId="14" fillId="37" borderId="0" xfId="0" applyNumberFormat="1" applyFont="1" applyFill="1" applyBorder="1" applyAlignment="1">
      <x:alignment horizontal="center" vertical="center" wrapText="1"/>
    </x:xf>
    <x:xf numFmtId="0" fontId="3" fillId="37" borderId="0" xfId="0" applyNumberFormat="1" applyFont="1" applyFill="1" applyBorder="1" applyAlignment="1">
      <x:alignment horizontal="center"/>
    </x:xf>
    <x:xf numFmtId="0" fontId="15" fillId="38" borderId="28" xfId="0" applyNumberFormat="1" applyFont="1" applyFill="1" applyBorder="1" applyAlignment="1">
      <x:alignment vertical="center" wrapText="1"/>
    </x:xf>
    <x:xf numFmtId="0" fontId="19" fillId="38" borderId="29" xfId="0" applyNumberFormat="1" applyFont="1" applyFill="1" applyBorder="1" applyAlignment="1">
      <x:alignment wrapText="1"/>
    </x:xf>
    <x:xf numFmtId="0" fontId="19" fillId="38" borderId="30" xfId="0" applyNumberFormat="1" applyFont="1" applyFill="1" applyBorder="1" applyAlignment="1">
      <x:alignment wrapText="1"/>
    </x:xf>
    <x:xf numFmtId="0" fontId="20" fillId="39" borderId="31" xfId="0" applyNumberFormat="1" applyFont="1" applyFill="1" applyBorder="1" applyAlignment="1">
      <x:alignment vertical="center" wrapText="1"/>
    </x:xf>
    <x:xf numFmtId="0" fontId="20" fillId="39" borderId="32" xfId="0" applyNumberFormat="1" applyFont="1" applyFill="1" applyBorder="1" applyAlignment="1">
      <x:alignment vertical="center" wrapText="1"/>
    </x:xf>
    <x:xf numFmtId="0" fontId="20" fillId="39" borderId="33" xfId="0" applyNumberFormat="1" applyFont="1" applyFill="1" applyBorder="1" applyAlignment="1">
      <x:alignment vertical="center" wrapText="1"/>
    </x:xf>
    <x:xf numFmtId="200" fontId="20" fillId="39" borderId="35" xfId="0" applyNumberFormat="1" applyFont="1" applyFill="1" applyBorder="1" applyAlignment="1">
      <x:alignment vertical="center" wrapText="1"/>
    </x:xf>
    <x:xf numFmtId="201" fontId="20" fillId="39" borderId="21" xfId="0" applyNumberFormat="1" applyFont="1" applyFill="1" applyBorder="1" applyAlignment="1">
      <x:alignment vertical="center" wrapText="1"/>
    </x:xf>
    <x:xf numFmtId="202" fontId="20" fillId="39" borderId="21" xfId="0" applyNumberFormat="1" applyFont="1" applyFill="1" applyBorder="1" applyAlignment="1">
      <x:alignment vertical="center" wrapText="1"/>
    </x:xf>
    <x:xf numFmtId="203" fontId="20" fillId="39" borderId="21" xfId="0" applyNumberFormat="1" applyFont="1" applyFill="1" applyBorder="1" applyAlignment="1">
      <x:alignment vertical="center" wrapText="1"/>
    </x:xf>
    <x:xf numFmtId="204" fontId="20" fillId="39" borderId="21" xfId="0" applyNumberFormat="1" applyFont="1" applyFill="1" applyBorder="1" applyAlignment="1">
      <x:alignment vertical="center" wrapText="1"/>
    </x:xf>
    <x:xf numFmtId="205" fontId="20" fillId="39" borderId="21" xfId="0" applyNumberFormat="1" applyFont="1" applyFill="1" applyBorder="1" applyAlignment="1">
      <x:alignment vertical="center" wrapText="1"/>
    </x:xf>
    <x:xf numFmtId="201" fontId="20" fillId="39" borderId="41" xfId="0" applyNumberFormat="1" applyFont="1" applyFill="1" applyBorder="1" applyAlignment="1">
      <x:alignment vertical="center" wrapText="1"/>
    </x:xf>
    <x:xf numFmtId="200" fontId="20" fillId="39" borderId="34" xfId="0" applyNumberFormat="1" applyFont="1" applyFill="1" applyBorder="1" applyAlignment="1">
      <x:alignment vertical="center" wrapText="1"/>
    </x:xf>
    <x:xf numFmtId="201" fontId="20" fillId="39" borderId="36" xfId="0" applyNumberFormat="1" applyFont="1" applyFill="1" applyBorder="1" applyAlignment="1">
      <x:alignment vertical="center" wrapText="1"/>
    </x:xf>
    <x:xf numFmtId="202" fontId="20" fillId="39" borderId="36" xfId="0" applyNumberFormat="1" applyFont="1" applyFill="1" applyBorder="1" applyAlignment="1">
      <x:alignment vertical="center" wrapText="1"/>
    </x:xf>
    <x:xf numFmtId="203" fontId="20" fillId="39" borderId="36" xfId="0" applyNumberFormat="1" applyFont="1" applyFill="1" applyBorder="1" applyAlignment="1">
      <x:alignment vertical="center" wrapText="1"/>
    </x:xf>
    <x:xf numFmtId="204" fontId="20" fillId="39" borderId="36" xfId="0" applyNumberFormat="1" applyFont="1" applyFill="1" applyBorder="1" applyAlignment="1">
      <x:alignment vertical="center" wrapText="1"/>
    </x:xf>
    <x:xf numFmtId="205" fontId="20" fillId="39" borderId="36" xfId="0" applyNumberFormat="1" applyFont="1" applyFill="1" applyBorder="1" applyAlignment="1">
      <x:alignment vertical="center" wrapText="1"/>
    </x:xf>
    <x:xf numFmtId="201" fontId="20" fillId="39" borderId="50" xfId="0" applyNumberFormat="1" applyFont="1" applyFill="1" applyBorder="1" applyAlignment="1">
      <x:alignment vertical="center" wrapText="1"/>
    </x:xf>
    <x:xf numFmtId="200" fontId="20" fillId="39" borderId="38" xfId="0" applyNumberFormat="1" applyFont="1" applyFill="1" applyBorder="1" applyAlignment="1">
      <x:alignment vertical="center" wrapText="1"/>
    </x:xf>
    <x:xf numFmtId="201" fontId="20" fillId="39" xfId="0" applyNumberFormat="1" applyFont="1" applyFill="1" applyBorder="0" applyAlignment="1">
      <x:alignment vertical="center" wrapText="1"/>
    </x:xf>
    <x:xf numFmtId="202" fontId="20" fillId="39" xfId="0" applyNumberFormat="1" applyFont="1" applyFill="1" applyBorder="0" applyAlignment="1">
      <x:alignment vertical="center" wrapText="1"/>
    </x:xf>
    <x:xf numFmtId="203" fontId="20" fillId="39" xfId="0" applyNumberFormat="1" applyFont="1" applyFill="1" applyBorder="0" applyAlignment="1">
      <x:alignment vertical="center" wrapText="1"/>
    </x:xf>
    <x:xf numFmtId="204" fontId="20" fillId="39" xfId="0" applyNumberFormat="1" applyFont="1" applyFill="1" applyBorder="0" applyAlignment="1">
      <x:alignment vertical="center" wrapText="1"/>
    </x:xf>
    <x:xf numFmtId="205" fontId="20" fillId="39" xfId="0" applyNumberFormat="1" applyFont="1" applyFill="1" applyBorder="0" applyAlignment="1">
      <x:alignment vertical="center" wrapText="1"/>
    </x:xf>
    <x:xf numFmtId="201" fontId="20" fillId="39" borderId="16" xfId="0" applyNumberFormat="1" applyFont="1" applyFill="1" applyBorder="1" applyAlignment="1">
      <x:alignment vertical="center" wrapText="1"/>
    </x:xf>
    <x:xf numFmtId="200" fontId="20" fillId="39" borderId="40" xfId="0" applyNumberFormat="1" applyFont="1" applyFill="1" applyBorder="1" applyAlignment="1">
      <x:alignment vertical="center" wrapText="1"/>
    </x:xf>
    <x:xf numFmtId="201" fontId="20" fillId="39" borderId="42" xfId="0" applyNumberFormat="1" applyFont="1" applyFill="1" applyBorder="1" applyAlignment="1">
      <x:alignment vertical="center" wrapText="1"/>
    </x:xf>
    <x:xf numFmtId="202" fontId="20" fillId="39" borderId="42" xfId="0" applyNumberFormat="1" applyFont="1" applyFill="1" applyBorder="1" applyAlignment="1">
      <x:alignment vertical="center" wrapText="1"/>
    </x:xf>
    <x:xf numFmtId="203" fontId="20" fillId="39" borderId="42" xfId="0" applyNumberFormat="1" applyFont="1" applyFill="1" applyBorder="1" applyAlignment="1">
      <x:alignment vertical="center" wrapText="1"/>
    </x:xf>
    <x:xf numFmtId="204" fontId="20" fillId="39" borderId="42" xfId="0" applyNumberFormat="1" applyFont="1" applyFill="1" applyBorder="1" applyAlignment="1">
      <x:alignment vertical="center" wrapText="1"/>
    </x:xf>
    <x:xf numFmtId="205" fontId="20" fillId="39" borderId="42" xfId="0" applyNumberFormat="1" applyFont="1" applyFill="1" applyBorder="1" applyAlignment="1">
      <x:alignment vertical="center" wrapText="1"/>
    </x:xf>
    <x:xf numFmtId="201" fontId="20" fillId="39" borderId="51" xfId="0" applyNumberFormat="1" applyFont="1" applyFill="1" applyBorder="1" applyAlignment="1">
      <x:alignment vertical="center" wrapText="1"/>
    </x:xf>
    <x:xf numFmtId="201" fontId="20" fillId="39" borderId="35" xfId="0" applyNumberFormat="1" applyFont="1" applyFill="1" applyBorder="1" applyAlignment="1">
      <x:alignment vertical="center" wrapText="1"/>
    </x:xf>
    <x:xf numFmtId="201" fontId="20" fillId="39" borderId="22" xfId="0" applyNumberFormat="1" applyFont="1" applyFill="1" applyBorder="1" applyAlignment="1">
      <x:alignment vertical="center" wrapText="1"/>
    </x:xf>
    <x:xf numFmtId="200" fontId="20" fillId="39" borderId="21" xfId="0" applyNumberFormat="1" applyFont="1" applyFill="1" applyBorder="1" applyAlignment="1">
      <x:alignment vertical="center" wrapText="1"/>
    </x:xf>
    <x:xf numFmtId="200" fontId="20" fillId="39" borderId="22" xfId="0" applyNumberFormat="1" applyFont="1" applyFill="1" applyBorder="1" applyAlignment="1">
      <x:alignment vertical="center" wrapText="1"/>
    </x:xf>
    <x:xf numFmtId="208" fontId="20" fillId="39" borderId="35" xfId="0" applyNumberFormat="1" applyFont="1" applyFill="1" applyBorder="1" applyAlignment="1">
      <x:alignment vertical="center" wrapText="1"/>
    </x:xf>
    <x:xf numFmtId="208" fontId="20" fillId="39" borderId="21" xfId="0" applyNumberFormat="1" applyFont="1" applyFill="1" applyBorder="1" applyAlignment="1">
      <x:alignment vertical="center" wrapText="1"/>
    </x:xf>
    <x:xf numFmtId="208" fontId="20" fillId="39" borderId="22" xfId="0" applyNumberFormat="1" applyFont="1" applyFill="1" applyBorder="1" applyAlignment="1">
      <x:alignment vertical="center" wrapText="1"/>
    </x:xf>
    <x:xf numFmtId="0" fontId="20" fillId="39" borderId="34" xfId="0" applyNumberFormat="1" applyFont="1" applyFill="1" applyBorder="1" applyAlignment="1">
      <x:alignment vertical="center" wrapText="1"/>
    </x:xf>
    <x:xf numFmtId="200" fontId="20" fillId="39" borderId="36" xfId="0" applyNumberFormat="1" applyFont="1" applyFill="1" applyBorder="1" applyAlignment="1">
      <x:alignment vertical="center" wrapText="1"/>
    </x:xf>
    <x:xf numFmtId="200" fontId="20" fillId="39" borderId="50" xfId="0" applyNumberFormat="1" applyFont="1" applyFill="1" applyBorder="1" applyAlignment="1">
      <x:alignment vertical="center" wrapText="1"/>
    </x:xf>
    <x:xf numFmtId="0" fontId="20" fillId="39" borderId="38" xfId="0" applyNumberFormat="1" applyFont="1" applyFill="1" applyBorder="1" applyAlignment="1">
      <x:alignment vertical="center" wrapText="1"/>
    </x:xf>
    <x:xf numFmtId="200" fontId="20" fillId="39" xfId="0" applyNumberFormat="1" applyFont="1" applyFill="1" applyBorder="0" applyAlignment="1">
      <x:alignment vertical="center" wrapText="1"/>
    </x:xf>
    <x:xf numFmtId="200" fontId="20" fillId="39" borderId="16" xfId="0" applyNumberFormat="1" applyFont="1" applyFill="1" applyBorder="1" applyAlignment="1">
      <x:alignment vertical="center" wrapText="1"/>
    </x:xf>
    <x:xf numFmtId="0" fontId="20" fillId="39" borderId="40" xfId="0" applyNumberFormat="1" applyFont="1" applyFill="1" applyBorder="1" applyAlignment="1">
      <x:alignment vertical="center" wrapText="1"/>
    </x:xf>
    <x:xf numFmtId="200" fontId="20" fillId="39" borderId="42" xfId="0" applyNumberFormat="1" applyFont="1" applyFill="1" applyBorder="1" applyAlignment="1">
      <x:alignment vertical="center" wrapText="1"/>
    </x:xf>
    <x:xf numFmtId="200" fontId="20" fillId="39" borderId="51" xfId="0" applyNumberFormat="1" applyFont="1" applyFill="1" applyBorder="1" applyAlignment="1">
      <x:alignment vertical="center" wrapText="1"/>
    </x:xf>
    <x:xf numFmtId="200" fontId="20" fillId="39" borderId="58" xfId="0" applyNumberFormat="1" applyFont="1" applyFill="1" applyBorder="1" applyAlignment="1">
      <x:alignment vertical="center" wrapText="1"/>
    </x:xf>
    <x:xf numFmtId="200" fontId="20" fillId="39" borderId="37" xfId="0" applyNumberFormat="1" applyFont="1" applyFill="1" applyBorder="1" applyAlignment="1">
      <x:alignment vertical="center" wrapText="1"/>
    </x:xf>
    <x:xf numFmtId="200" fontId="20" fillId="39" borderId="15" xfId="0" applyNumberFormat="1" applyFont="1" applyFill="1" applyBorder="1" applyAlignment="1">
      <x:alignment vertical="center" wrapText="1"/>
    </x:xf>
    <x:xf numFmtId="200" fontId="20" fillId="39" borderId="39" xfId="0" applyNumberFormat="1" applyFont="1" applyFill="1" applyBorder="1" applyAlignment="1">
      <x:alignment vertical="center" wrapText="1"/>
    </x:xf>
    <x:xf numFmtId="200" fontId="20" fillId="39" borderId="59" xfId="0" applyNumberFormat="1" applyFont="1" applyFill="1" applyBorder="1" applyAlignment="1">
      <x:alignment vertical="center" wrapText="1"/>
    </x:xf>
    <x:xf numFmtId="200" fontId="20" fillId="39" borderId="43" xfId="0" applyNumberFormat="1" applyFont="1" applyFill="1" applyBorder="1" applyAlignment="1">
      <x:alignment vertical="center" wrapText="1"/>
    </x:xf>
    <x:xf numFmtId="0" fontId="20" fillId="39" borderId="36" xfId="0" applyNumberFormat="1" applyFont="1" applyFill="1" applyBorder="1" applyAlignment="1">
      <x:alignment vertical="center" wrapText="1"/>
    </x:xf>
    <x:xf numFmtId="0" fontId="20" fillId="39" borderId="37" xfId="0" applyNumberFormat="1" applyFont="1" applyFill="1" applyBorder="1" applyAlignment="1">
      <x:alignment vertical="center" wrapText="1"/>
    </x:xf>
    <x:xf numFmtId="0" fontId="20" fillId="39" xfId="0" applyNumberFormat="1" applyFont="1" applyFill="1" applyBorder="0" applyAlignment="1">
      <x:alignment vertical="center" wrapText="1"/>
    </x:xf>
    <x:xf numFmtId="0" fontId="20" fillId="39" borderId="39" xfId="0" applyNumberFormat="1" applyFont="1" applyFill="1" applyBorder="1" applyAlignment="1">
      <x:alignment vertical="center" wrapText="1"/>
    </x:xf>
    <x:xf numFmtId="0" fontId="20" fillId="39" borderId="42" xfId="0" applyNumberFormat="1" applyFont="1" applyFill="1" applyBorder="1" applyAlignment="1">
      <x:alignment vertical="center" wrapText="1"/>
    </x:xf>
    <x:xf numFmtId="0" fontId="20" fillId="39" borderId="43" xfId="0" applyNumberFormat="1" applyFont="1" applyFill="1" applyBorder="1" applyAlignment="1">
      <x:alignment vertical="center" wrapText="1"/>
    </x:xf>
    <x:xf numFmtId="0" fontId="27" fillId="40" borderId="0" xfId="0" applyNumberFormat="1" applyFont="1" applyFill="1" applyBorder="1" applyAlignment="1">
      <x:alignment horizontal="left" vertical="center" wrapText="1"/>
    </x:xf>
    <x:xf numFmtId="0" fontId="28" fillId="40" borderId="0" xfId="0" applyNumberFormat="1" applyFont="1" applyFill="1" applyBorder="1" applyAlignment="1">
      <x:alignment horizontal="left" vertical="center"/>
    </x:xf>
    <x:xf numFmtId="0" fontId="25" fillId="41" borderId="0" xfId="0" applyNumberFormat="1" applyFont="1" applyFill="1" applyBorder="1" applyAlignment="1">
      <x:alignment vertical="center" wrapText="1"/>
    </x:xf>
    <x:xf numFmtId="0" fontId="26" fillId="41" borderId="0" xfId="0" applyNumberFormat="1" applyFont="1" applyFill="1" applyBorder="1" applyAlignment="1">
      <x:alignment vertical="center" wrapText="1"/>
    </x:xf>
    <x:xf numFmtId="0" fontId="29" fillId="41" borderId="0" xfId="0" applyNumberFormat="1" applyFont="1" applyFill="1" applyBorder="1" applyAlignment="1">
      <x:alignment vertical="center" wrapText="1"/>
    </x:xf>
    <x:xf numFmtId="0" fontId="9" fillId="42" borderId="0" xfId="0" applyNumberFormat="1" applyFont="1" applyFill="1" applyBorder="1" applyAlignment="1">
      <x:alignment horizontal="left" vertical="center" wrapText="1"/>
    </x:xf>
    <x:xf numFmtId="0" fontId="30" fillId="42" borderId="0" xfId="0" applyNumberFormat="1" applyFont="1" applyFill="1" applyBorder="1" applyAlignment="1">
      <x:alignment horizontal="left" vertical="center" wrapText="1"/>
    </x:xf>
    <x:xf numFmtId="0" fontId="20" fillId="43" borderId="31" xfId="0" applyNumberFormat="1" applyFont="1" applyFill="1" applyBorder="1" applyAlignment="1">
      <x:alignment vertical="center" wrapText="1"/>
    </x:xf>
    <x:xf numFmtId="0" fontId="20" fillId="43" borderId="32" xfId="0" applyNumberFormat="1" applyFont="1" applyFill="1" applyBorder="1" applyAlignment="1">
      <x:alignment vertical="center" wrapText="1"/>
    </x:xf>
    <x:xf numFmtId="0" fontId="20" fillId="43" borderId="33" xfId="0" applyNumberFormat="1" applyFont="1" applyFill="1" applyBorder="1" applyAlignment="1">
      <x:alignment vertical="center" wrapText="1"/>
    </x:xf>
    <x:xf numFmtId="200" fontId="22" fillId="44" borderId="34" xfId="0" applyNumberFormat="1" applyFont="1" applyFill="1" applyBorder="1" applyAlignment="1">
      <x:alignment vertical="center" wrapText="1"/>
    </x:xf>
    <x:xf numFmtId="201" fontId="22" fillId="44" borderId="38" xfId="0" applyNumberFormat="1" applyFont="1" applyFill="1" applyBorder="1" applyAlignment="1">
      <x:alignment vertical="center" wrapText="1"/>
    </x:xf>
    <x:xf numFmtId="202" fontId="22" fillId="44" borderId="38" xfId="0" applyNumberFormat="1" applyFont="1" applyFill="1" applyBorder="1" applyAlignment="1">
      <x:alignment vertical="center" wrapText="1"/>
    </x:xf>
    <x:xf numFmtId="203" fontId="22" fillId="44" borderId="38" xfId="0" applyNumberFormat="1" applyFont="1" applyFill="1" applyBorder="1" applyAlignment="1">
      <x:alignment vertical="center" wrapText="1"/>
    </x:xf>
    <x:xf numFmtId="204" fontId="22" fillId="44" borderId="38" xfId="0" applyNumberFormat="1" applyFont="1" applyFill="1" applyBorder="1" applyAlignment="1">
      <x:alignment vertical="center" wrapText="1"/>
    </x:xf>
    <x:xf numFmtId="205" fontId="22" fillId="44" borderId="38" xfId="0" applyNumberFormat="1" applyFont="1" applyFill="1" applyBorder="1" applyAlignment="1">
      <x:alignment vertical="center" wrapText="1"/>
    </x:xf>
    <x:xf numFmtId="201" fontId="22" fillId="44" borderId="40" xfId="0" applyNumberFormat="1" applyFont="1" applyFill="1" applyBorder="1" applyAlignment="1">
      <x:alignment vertical="center" wrapText="1"/>
    </x:xf>
    <x:xf numFmtId="0" fontId="23" fillId="45" borderId="37" xfId="0" applyNumberFormat="1" applyFont="1" applyFill="1" applyBorder="1" applyAlignment="1">
      <x:alignment vertical="top" wrapText="1"/>
    </x:xf>
    <x:xf numFmtId="0" fontId="23" fillId="45" borderId="39" xfId="0" applyNumberFormat="1" applyFont="1" applyFill="1" applyBorder="1" applyAlignment="1">
      <x:alignment vertical="top" wrapText="1"/>
    </x:xf>
    <x:xf numFmtId="0" fontId="23" fillId="45" borderId="43" xfId="0" applyNumberFormat="1" applyFont="1" applyFill="1" applyBorder="1" applyAlignment="1">
      <x:alignment vertical="top" wrapText="1"/>
    </x:xf>
    <x:xf numFmtId="0" fontId="23" fillId="45" borderId="37" xfId="0" applyNumberFormat="1" applyFont="1" applyFill="1" applyBorder="1" applyAlignment="1">
      <x:alignment vertical="center" wrapText="1"/>
    </x:xf>
    <x:xf numFmtId="0" fontId="23" fillId="45" borderId="39" xfId="0" applyNumberFormat="1" applyFont="1" applyFill="1" applyBorder="1" applyAlignment="1">
      <x:alignment vertical="center" wrapText="1"/>
    </x:xf>
    <x:xf numFmtId="0" fontId="23" fillId="45" borderId="43" xfId="0" applyNumberFormat="1" applyFont="1" applyFill="1" applyBorder="1" applyAlignment="1">
      <x:alignment vertical="center" wrapText="1"/>
    </x:xf>
    <x:xf numFmtId="0" fontId="23" fillId="45" borderId="34" xfId="0" applyNumberFormat="1" applyFont="1" applyFill="1" applyBorder="1" applyAlignment="1">
      <x:alignment vertical="center" wrapText="1"/>
    </x:xf>
    <x:xf numFmtId="0" fontId="23" fillId="45" borderId="38" xfId="0" applyNumberFormat="1" applyFont="1" applyFill="1" applyBorder="1" applyAlignment="1">
      <x:alignment vertical="center" wrapText="1"/>
    </x:xf>
    <x:xf numFmtId="0" fontId="23" fillId="45" borderId="40" xfId="0" applyNumberFormat="1" applyFont="1" applyFill="1" applyBorder="1" applyAlignment="1">
      <x:alignment vertical="center" wrapText="1"/>
    </x:xf>
    <x:xf numFmtId="0" fontId="14" fillId="46" borderId="0" xfId="0" applyNumberFormat="1" applyFont="1" applyFill="1" applyBorder="1" applyAlignment="1">
      <x:alignment horizontal="center" vertical="center" wrapText="1"/>
    </x:xf>
    <x:xf numFmtId="0" fontId="3" fillId="46" borderId="0" xfId="0" applyNumberFormat="1" applyFont="1" applyFill="1" applyBorder="1" applyAlignment="1">
      <x:alignment horizontal="center"/>
    </x:xf>
    <x:xf numFmtId="0" fontId="15" fillId="47" borderId="28" xfId="0" applyNumberFormat="1" applyFont="1" applyFill="1" applyBorder="1" applyAlignment="1">
      <x:alignment vertical="center" wrapText="1"/>
    </x:xf>
    <x:xf numFmtId="0" fontId="19" fillId="47" borderId="29" xfId="0" applyNumberFormat="1" applyFont="1" applyFill="1" applyBorder="1" applyAlignment="1">
      <x:alignment wrapText="1"/>
    </x:xf>
    <x:xf numFmtId="0" fontId="19" fillId="47" borderId="30" xfId="0" applyNumberFormat="1" applyFont="1" applyFill="1" applyBorder="1" applyAlignment="1">
      <x:alignment wrapText="1"/>
    </x:xf>
    <x:xf numFmtId="0" fontId="20" fillId="48" borderId="31" xfId="0" applyNumberFormat="1" applyFont="1" applyFill="1" applyBorder="1" applyAlignment="1">
      <x:alignment vertical="center" wrapText="1"/>
    </x:xf>
    <x:xf numFmtId="0" fontId="20" fillId="48" borderId="32" xfId="0" applyNumberFormat="1" applyFont="1" applyFill="1" applyBorder="1" applyAlignment="1">
      <x:alignment vertical="center" wrapText="1"/>
    </x:xf>
    <x:xf numFmtId="0" fontId="20" fillId="48" borderId="33" xfId="0" applyNumberFormat="1" applyFont="1" applyFill="1" applyBorder="1" applyAlignment="1">
      <x:alignment vertical="center" wrapText="1"/>
    </x:xf>
    <x:xf numFmtId="200" fontId="20" fillId="48" borderId="35" xfId="0" applyNumberFormat="1" applyFont="1" applyFill="1" applyBorder="1" applyAlignment="1">
      <x:alignment vertical="center" wrapText="1"/>
    </x:xf>
    <x:xf numFmtId="201" fontId="20" fillId="48" borderId="21" xfId="0" applyNumberFormat="1" applyFont="1" applyFill="1" applyBorder="1" applyAlignment="1">
      <x:alignment vertical="center" wrapText="1"/>
    </x:xf>
    <x:xf numFmtId="202" fontId="20" fillId="48" borderId="21" xfId="0" applyNumberFormat="1" applyFont="1" applyFill="1" applyBorder="1" applyAlignment="1">
      <x:alignment vertical="center" wrapText="1"/>
    </x:xf>
    <x:xf numFmtId="203" fontId="20" fillId="48" borderId="21" xfId="0" applyNumberFormat="1" applyFont="1" applyFill="1" applyBorder="1" applyAlignment="1">
      <x:alignment vertical="center" wrapText="1"/>
    </x:xf>
    <x:xf numFmtId="204" fontId="20" fillId="48" borderId="21" xfId="0" applyNumberFormat="1" applyFont="1" applyFill="1" applyBorder="1" applyAlignment="1">
      <x:alignment vertical="center" wrapText="1"/>
    </x:xf>
    <x:xf numFmtId="205" fontId="20" fillId="48" borderId="21" xfId="0" applyNumberFormat="1" applyFont="1" applyFill="1" applyBorder="1" applyAlignment="1">
      <x:alignment vertical="center" wrapText="1"/>
    </x:xf>
    <x:xf numFmtId="201" fontId="20" fillId="48" borderId="41" xfId="0" applyNumberFormat="1" applyFont="1" applyFill="1" applyBorder="1" applyAlignment="1">
      <x:alignment vertical="center" wrapText="1"/>
    </x:xf>
    <x:xf numFmtId="200" fontId="20" fillId="48" borderId="34" xfId="0" applyNumberFormat="1" applyFont="1" applyFill="1" applyBorder="1" applyAlignment="1">
      <x:alignment vertical="center" wrapText="1"/>
    </x:xf>
    <x:xf numFmtId="201" fontId="20" fillId="48" borderId="36" xfId="0" applyNumberFormat="1" applyFont="1" applyFill="1" applyBorder="1" applyAlignment="1">
      <x:alignment vertical="center" wrapText="1"/>
    </x:xf>
    <x:xf numFmtId="202" fontId="20" fillId="48" borderId="36" xfId="0" applyNumberFormat="1" applyFont="1" applyFill="1" applyBorder="1" applyAlignment="1">
      <x:alignment vertical="center" wrapText="1"/>
    </x:xf>
    <x:xf numFmtId="203" fontId="20" fillId="48" borderId="36" xfId="0" applyNumberFormat="1" applyFont="1" applyFill="1" applyBorder="1" applyAlignment="1">
      <x:alignment vertical="center" wrapText="1"/>
    </x:xf>
    <x:xf numFmtId="204" fontId="20" fillId="48" borderId="36" xfId="0" applyNumberFormat="1" applyFont="1" applyFill="1" applyBorder="1" applyAlignment="1">
      <x:alignment vertical="center" wrapText="1"/>
    </x:xf>
    <x:xf numFmtId="205" fontId="20" fillId="48" borderId="36" xfId="0" applyNumberFormat="1" applyFont="1" applyFill="1" applyBorder="1" applyAlignment="1">
      <x:alignment vertical="center" wrapText="1"/>
    </x:xf>
    <x:xf numFmtId="201" fontId="20" fillId="48" borderId="50" xfId="0" applyNumberFormat="1" applyFont="1" applyFill="1" applyBorder="1" applyAlignment="1">
      <x:alignment vertical="center" wrapText="1"/>
    </x:xf>
    <x:xf numFmtId="200" fontId="20" fillId="48" borderId="38" xfId="0" applyNumberFormat="1" applyFont="1" applyFill="1" applyBorder="1" applyAlignment="1">
      <x:alignment vertical="center" wrapText="1"/>
    </x:xf>
    <x:xf numFmtId="201" fontId="20" fillId="48" xfId="0" applyNumberFormat="1" applyFont="1" applyFill="1" applyBorder="0" applyAlignment="1">
      <x:alignment vertical="center" wrapText="1"/>
    </x:xf>
    <x:xf numFmtId="202" fontId="20" fillId="48" xfId="0" applyNumberFormat="1" applyFont="1" applyFill="1" applyBorder="0" applyAlignment="1">
      <x:alignment vertical="center" wrapText="1"/>
    </x:xf>
    <x:xf numFmtId="203" fontId="20" fillId="48" xfId="0" applyNumberFormat="1" applyFont="1" applyFill="1" applyBorder="0" applyAlignment="1">
      <x:alignment vertical="center" wrapText="1"/>
    </x:xf>
    <x:xf numFmtId="204" fontId="20" fillId="48" xfId="0" applyNumberFormat="1" applyFont="1" applyFill="1" applyBorder="0" applyAlignment="1">
      <x:alignment vertical="center" wrapText="1"/>
    </x:xf>
    <x:xf numFmtId="205" fontId="20" fillId="48" xfId="0" applyNumberFormat="1" applyFont="1" applyFill="1" applyBorder="0" applyAlignment="1">
      <x:alignment vertical="center" wrapText="1"/>
    </x:xf>
    <x:xf numFmtId="201" fontId="20" fillId="48" borderId="16" xfId="0" applyNumberFormat="1" applyFont="1" applyFill="1" applyBorder="1" applyAlignment="1">
      <x:alignment vertical="center" wrapText="1"/>
    </x:xf>
    <x:xf numFmtId="200" fontId="20" fillId="48" borderId="40" xfId="0" applyNumberFormat="1" applyFont="1" applyFill="1" applyBorder="1" applyAlignment="1">
      <x:alignment vertical="center" wrapText="1"/>
    </x:xf>
    <x:xf numFmtId="201" fontId="20" fillId="48" borderId="42" xfId="0" applyNumberFormat="1" applyFont="1" applyFill="1" applyBorder="1" applyAlignment="1">
      <x:alignment vertical="center" wrapText="1"/>
    </x:xf>
    <x:xf numFmtId="202" fontId="20" fillId="48" borderId="42" xfId="0" applyNumberFormat="1" applyFont="1" applyFill="1" applyBorder="1" applyAlignment="1">
      <x:alignment vertical="center" wrapText="1"/>
    </x:xf>
    <x:xf numFmtId="203" fontId="20" fillId="48" borderId="42" xfId="0" applyNumberFormat="1" applyFont="1" applyFill="1" applyBorder="1" applyAlignment="1">
      <x:alignment vertical="center" wrapText="1"/>
    </x:xf>
    <x:xf numFmtId="204" fontId="20" fillId="48" borderId="42" xfId="0" applyNumberFormat="1" applyFont="1" applyFill="1" applyBorder="1" applyAlignment="1">
      <x:alignment vertical="center" wrapText="1"/>
    </x:xf>
    <x:xf numFmtId="205" fontId="20" fillId="48" borderId="42" xfId="0" applyNumberFormat="1" applyFont="1" applyFill="1" applyBorder="1" applyAlignment="1">
      <x:alignment vertical="center" wrapText="1"/>
    </x:xf>
    <x:xf numFmtId="201" fontId="20" fillId="48" borderId="51" xfId="0" applyNumberFormat="1" applyFont="1" applyFill="1" applyBorder="1" applyAlignment="1">
      <x:alignment vertical="center" wrapText="1"/>
    </x:xf>
    <x:xf numFmtId="201" fontId="20" fillId="48" borderId="35" xfId="0" applyNumberFormat="1" applyFont="1" applyFill="1" applyBorder="1" applyAlignment="1">
      <x:alignment vertical="center" wrapText="1"/>
    </x:xf>
    <x:xf numFmtId="201" fontId="20" fillId="48" borderId="22" xfId="0" applyNumberFormat="1" applyFont="1" applyFill="1" applyBorder="1" applyAlignment="1">
      <x:alignment vertical="center" wrapText="1"/>
    </x:xf>
    <x:xf numFmtId="200" fontId="20" fillId="48" borderId="21" xfId="0" applyNumberFormat="1" applyFont="1" applyFill="1" applyBorder="1" applyAlignment="1">
      <x:alignment vertical="center" wrapText="1"/>
    </x:xf>
    <x:xf numFmtId="200" fontId="20" fillId="48" borderId="22" xfId="0" applyNumberFormat="1" applyFont="1" applyFill="1" applyBorder="1" applyAlignment="1">
      <x:alignment vertical="center" wrapText="1"/>
    </x:xf>
    <x:xf numFmtId="208" fontId="20" fillId="48" borderId="35" xfId="0" applyNumberFormat="1" applyFont="1" applyFill="1" applyBorder="1" applyAlignment="1">
      <x:alignment vertical="center" wrapText="1"/>
    </x:xf>
    <x:xf numFmtId="208" fontId="20" fillId="48" borderId="21" xfId="0" applyNumberFormat="1" applyFont="1" applyFill="1" applyBorder="1" applyAlignment="1">
      <x:alignment vertical="center" wrapText="1"/>
    </x:xf>
    <x:xf numFmtId="208" fontId="20" fillId="48" borderId="22" xfId="0" applyNumberFormat="1" applyFont="1" applyFill="1" applyBorder="1" applyAlignment="1">
      <x:alignment vertical="center" wrapText="1"/>
    </x:xf>
    <x:xf numFmtId="0" fontId="20" fillId="48" borderId="34" xfId="0" applyNumberFormat="1" applyFont="1" applyFill="1" applyBorder="1" applyAlignment="1">
      <x:alignment vertical="center" wrapText="1"/>
    </x:xf>
    <x:xf numFmtId="200" fontId="20" fillId="48" borderId="36" xfId="0" applyNumberFormat="1" applyFont="1" applyFill="1" applyBorder="1" applyAlignment="1">
      <x:alignment vertical="center" wrapText="1"/>
    </x:xf>
    <x:xf numFmtId="200" fontId="20" fillId="48" borderId="50" xfId="0" applyNumberFormat="1" applyFont="1" applyFill="1" applyBorder="1" applyAlignment="1">
      <x:alignment vertical="center" wrapText="1"/>
    </x:xf>
    <x:xf numFmtId="0" fontId="20" fillId="48" borderId="38" xfId="0" applyNumberFormat="1" applyFont="1" applyFill="1" applyBorder="1" applyAlignment="1">
      <x:alignment vertical="center" wrapText="1"/>
    </x:xf>
    <x:xf numFmtId="200" fontId="20" fillId="48" xfId="0" applyNumberFormat="1" applyFont="1" applyFill="1" applyBorder="0" applyAlignment="1">
      <x:alignment vertical="center" wrapText="1"/>
    </x:xf>
    <x:xf numFmtId="200" fontId="20" fillId="48" borderId="16" xfId="0" applyNumberFormat="1" applyFont="1" applyFill="1" applyBorder="1" applyAlignment="1">
      <x:alignment vertical="center" wrapText="1"/>
    </x:xf>
    <x:xf numFmtId="0" fontId="20" fillId="48" borderId="40" xfId="0" applyNumberFormat="1" applyFont="1" applyFill="1" applyBorder="1" applyAlignment="1">
      <x:alignment vertical="center" wrapText="1"/>
    </x:xf>
    <x:xf numFmtId="200" fontId="20" fillId="48" borderId="42" xfId="0" applyNumberFormat="1" applyFont="1" applyFill="1" applyBorder="1" applyAlignment="1">
      <x:alignment vertical="center" wrapText="1"/>
    </x:xf>
    <x:xf numFmtId="200" fontId="20" fillId="48" borderId="51" xfId="0" applyNumberFormat="1" applyFont="1" applyFill="1" applyBorder="1" applyAlignment="1">
      <x:alignment vertical="center" wrapText="1"/>
    </x:xf>
    <x:xf numFmtId="200" fontId="20" fillId="48" borderId="58" xfId="0" applyNumberFormat="1" applyFont="1" applyFill="1" applyBorder="1" applyAlignment="1">
      <x:alignment vertical="center" wrapText="1"/>
    </x:xf>
    <x:xf numFmtId="200" fontId="20" fillId="48" borderId="37" xfId="0" applyNumberFormat="1" applyFont="1" applyFill="1" applyBorder="1" applyAlignment="1">
      <x:alignment vertical="center" wrapText="1"/>
    </x:xf>
    <x:xf numFmtId="200" fontId="20" fillId="48" borderId="15" xfId="0" applyNumberFormat="1" applyFont="1" applyFill="1" applyBorder="1" applyAlignment="1">
      <x:alignment vertical="center" wrapText="1"/>
    </x:xf>
    <x:xf numFmtId="200" fontId="20" fillId="48" borderId="39" xfId="0" applyNumberFormat="1" applyFont="1" applyFill="1" applyBorder="1" applyAlignment="1">
      <x:alignment vertical="center" wrapText="1"/>
    </x:xf>
    <x:xf numFmtId="200" fontId="20" fillId="48" borderId="59" xfId="0" applyNumberFormat="1" applyFont="1" applyFill="1" applyBorder="1" applyAlignment="1">
      <x:alignment vertical="center" wrapText="1"/>
    </x:xf>
    <x:xf numFmtId="200" fontId="20" fillId="48" borderId="43" xfId="0" applyNumberFormat="1" applyFont="1" applyFill="1" applyBorder="1" applyAlignment="1">
      <x:alignment vertical="center" wrapText="1"/>
    </x:xf>
    <x:xf numFmtId="0" fontId="20" fillId="48" borderId="36" xfId="0" applyNumberFormat="1" applyFont="1" applyFill="1" applyBorder="1" applyAlignment="1">
      <x:alignment vertical="center" wrapText="1"/>
    </x:xf>
    <x:xf numFmtId="0" fontId="20" fillId="48" borderId="37" xfId="0" applyNumberFormat="1" applyFont="1" applyFill="1" applyBorder="1" applyAlignment="1">
      <x:alignment vertical="center" wrapText="1"/>
    </x:xf>
    <x:xf numFmtId="0" fontId="20" fillId="48" xfId="0" applyNumberFormat="1" applyFont="1" applyFill="1" applyBorder="0" applyAlignment="1">
      <x:alignment vertical="center" wrapText="1"/>
    </x:xf>
    <x:xf numFmtId="0" fontId="20" fillId="48" borderId="39" xfId="0" applyNumberFormat="1" applyFont="1" applyFill="1" applyBorder="1" applyAlignment="1">
      <x:alignment vertical="center" wrapText="1"/>
    </x:xf>
    <x:xf numFmtId="0" fontId="20" fillId="48" borderId="42" xfId="0" applyNumberFormat="1" applyFont="1" applyFill="1" applyBorder="1" applyAlignment="1">
      <x:alignment vertical="center" wrapText="1"/>
    </x:xf>
    <x:xf numFmtId="0" fontId="20" fillId="48" borderId="43" xfId="0" applyNumberFormat="1" applyFont="1" applyFill="1" applyBorder="1" applyAlignment="1">
      <x:alignment vertical="center" wrapText="1"/>
    </x:xf>
    <x:xf numFmtId="0" fontId="27" fillId="49" borderId="0" xfId="0" applyNumberFormat="1" applyFont="1" applyFill="1" applyBorder="1" applyAlignment="1">
      <x:alignment horizontal="left" vertical="center" wrapText="1"/>
    </x:xf>
    <x:xf numFmtId="0" fontId="28" fillId="49" borderId="0" xfId="0" applyNumberFormat="1" applyFont="1" applyFill="1" applyBorder="1" applyAlignment="1">
      <x:alignment horizontal="left" vertical="center"/>
    </x:xf>
    <x:xf numFmtId="0" fontId="25" fillId="50" borderId="0" xfId="0" applyNumberFormat="1" applyFont="1" applyFill="1" applyBorder="1" applyAlignment="1">
      <x:alignment vertical="center" wrapText="1"/>
    </x:xf>
    <x:xf numFmtId="0" fontId="26" fillId="50" borderId="0" xfId="0" applyNumberFormat="1" applyFont="1" applyFill="1" applyBorder="1" applyAlignment="1">
      <x:alignment vertical="center" wrapText="1"/>
    </x:xf>
    <x:xf numFmtId="0" fontId="29" fillId="50" borderId="0" xfId="0" applyNumberFormat="1" applyFont="1" applyFill="1" applyBorder="1" applyAlignment="1">
      <x:alignment vertical="center" wrapText="1"/>
    </x:xf>
    <x:xf numFmtId="0" fontId="30" fillId="51" borderId="0" xfId="0" applyNumberFormat="1" applyFont="1" applyFill="1" applyBorder="1" applyAlignment="1">
      <x:alignment horizontal="left" vertical="center" wrapText="1"/>
    </x:xf>
    <x:xf numFmtId="0" fontId="9" fillId="5" borderId="3" xfId="0" applyNumberFormat="1" applyFont="1" applyFill="1" applyBorder="1" applyAlignment="1">
      <x:alignment horizontal="center"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9" fillId="5" borderId="1" xfId="0" applyNumberFormat="1" applyFont="1" applyFill="1" applyBorder="1" applyAlignment="1">
      <x:alignment horizontal="center" vertical="top" wrapText="1"/>
    </x:xf>
    <x:xf numFmtId="0" fontId="9" fillId="5" borderId="2" xfId="0" applyNumberFormat="1" applyFont="1" applyFill="1" applyBorder="1" applyAlignment="1">
      <x:alignment horizontal="center" vertical="top" wrapText="1"/>
    </x:xf>
    <x:xf numFmtId="0" fontId="11" fillId="6" borderId="4" xfId="0" applyNumberFormat="1" applyFont="1" applyFill="1" applyBorder="1" applyAlignment="1">
      <x:alignment vertical="top" wrapText="1"/>
    </x:xf>
    <x:xf numFmtId="0" fontId="22" fillId="6" borderId="34" xfId="0" applyNumberFormat="1" applyFont="1" applyFill="1" applyBorder="1" applyAlignment="1">
      <x:alignment vertical="top" wrapText="1"/>
    </x:xf>
    <x:xf numFmtId="206" fontId="22" fillId="6" borderId="36" xfId="0" applyNumberFormat="1" applyFont="1" applyFill="1" applyBorder="1" applyAlignment="1">
      <x:alignment vertical="top" wrapText="1"/>
    </x:xf>
    <x:xf numFmtId="206" fontId="22" fillId="6" borderId="37" xfId="0" applyNumberFormat="1" applyFont="1" applyFill="1" applyBorder="1" applyAlignment="1">
      <x:alignment vertical="top" wrapText="1"/>
    </x:xf>
    <x:xf numFmtId="0" fontId="11" fillId="6" borderId="7" xfId="0" applyNumberFormat="1" applyFont="1" applyFill="1" applyBorder="1" applyAlignment="1">
      <x:alignment vertical="top" wrapText="1"/>
    </x:xf>
    <x:xf numFmtId="0" fontId="22" fillId="6" borderId="38" xfId="0" applyNumberFormat="1" applyFont="1" applyFill="1" applyBorder="1" applyAlignment="1">
      <x:alignment vertical="top" wrapText="1"/>
    </x:xf>
    <x:xf numFmtId="206" fontId="22" fillId="6" xfId="0" applyNumberFormat="1" applyFont="1" applyFill="1" applyBorder="0" applyAlignment="1">
      <x:alignment vertical="top" wrapText="1"/>
    </x:xf>
    <x:xf numFmtId="206" fontId="22" fillId="6" borderId="39" xfId="0" applyNumberFormat="1" applyFont="1" applyFill="1" applyBorder="1" applyAlignment="1">
      <x:alignment vertical="top" wrapText="1"/>
    </x:xf>
    <x:xf numFmtId="0" fontId="11" fillId="6" borderId="9" xfId="0" applyNumberFormat="1" applyFont="1" applyFill="1" applyBorder="1" applyAlignment="1">
      <x:alignment vertical="top" wrapText="1"/>
    </x:xf>
    <x:xf numFmtId="0" fontId="22" fillId="6" borderId="40" xfId="0" applyNumberFormat="1" applyFont="1" applyFill="1" applyBorder="1" applyAlignment="1">
      <x:alignment vertical="top" wrapText="1"/>
    </x:xf>
    <x:xf numFmtId="206" fontId="17" fillId="8" borderId="57" xfId="0" applyNumberFormat="1" applyFont="1" applyFill="1" applyBorder="1" applyAlignment="1">
      <x:alignment vertical="top" wrapText="1"/>
    </x:xf>
    <x:xf numFmtId="206" fontId="17" fillId="8" borderId="56" xfId="0" applyNumberFormat="1" applyFont="1" applyFill="1" applyBorder="1" applyAlignment="1">
      <x:alignment vertical="top" wrapText="1"/>
    </x:xf>
    <x:xf numFmtId="0" fontId="20" fillId="48" borderId="34" xfId="0" applyNumberFormat="1" applyFont="1" applyFill="1" applyBorder="1" applyAlignment="1">
      <x:alignment vertical="top" wrapText="1"/>
    </x:xf>
    <x:xf numFmtId="0" fontId="20" fillId="48" borderId="36" xfId="0" applyNumberFormat="1" applyFont="1" applyFill="1" applyBorder="1" applyAlignment="1">
      <x:alignment vertical="top" wrapText="1"/>
    </x:xf>
    <x:xf numFmtId="0" fontId="20" fillId="48" borderId="37" xfId="0" applyNumberFormat="1" applyFont="1" applyFill="1" applyBorder="1" applyAlignment="1">
      <x:alignment vertical="top" wrapText="1"/>
    </x:xf>
    <x:xf numFmtId="0" fontId="20" fillId="48" borderId="38" xfId="0" applyNumberFormat="1" applyFont="1" applyFill="1" applyBorder="1" applyAlignment="1">
      <x:alignment vertical="top" wrapText="1"/>
    </x:xf>
    <x:xf numFmtId="0" fontId="20" fillId="48" xfId="0" applyNumberFormat="1" applyFont="1" applyFill="1" applyBorder="0" applyAlignment="1">
      <x:alignment vertical="top" wrapText="1"/>
    </x:xf>
    <x:xf numFmtId="0" fontId="20" fillId="48" borderId="39" xfId="0" applyNumberFormat="1" applyFont="1" applyFill="1" applyBorder="1" applyAlignment="1">
      <x:alignment vertical="top" wrapText="1"/>
    </x:xf>
    <x:xf numFmtId="0" fontId="20" fillId="48" borderId="40" xfId="0" applyNumberFormat="1" applyFont="1" applyFill="1" applyBorder="1" applyAlignment="1">
      <x:alignment vertical="top" wrapText="1"/>
    </x:xf>
    <x:xf numFmtId="0" fontId="20" fillId="48" borderId="42" xfId="0" applyNumberFormat="1" applyFont="1" applyFill="1" applyBorder="1" applyAlignment="1">
      <x:alignment vertical="top" wrapText="1"/>
    </x:xf>
    <x:xf numFmtId="0" fontId="20" fillId="48" borderId="43" xfId="0" applyNumberFormat="1" applyFont="1" applyFill="1" applyBorder="1" applyAlignment="1">
      <x:alignment vertical="top" wrapText="1"/>
    </x:xf>
    <x:xf numFmtId="0" fontId="23" fillId="14" borderId="34" xfId="0" applyNumberFormat="1" applyFont="1" applyFill="1" applyBorder="1" applyAlignment="1">
      <x:alignment vertical="top" wrapText="1"/>
    </x:xf>
    <x:xf numFmtId="0" fontId="11" fillId="6" borderId="60" xfId="0" applyNumberFormat="1" applyFont="1" applyFill="1" applyBorder="1" applyAlignment="1">
      <x:alignment vertical="top" wrapText="1"/>
    </x:xf>
    <x:xf numFmtId="0" fontId="23" fillId="14" borderId="38" xfId="0" applyNumberFormat="1" applyFont="1" applyFill="1" applyBorder="1" applyAlignment="1">
      <x:alignment vertical="top" wrapText="1"/>
    </x:xf>
    <x:xf numFmtId="0" fontId="23" fillId="14" borderId="40" xfId="0" applyNumberFormat="1" applyFont="1" applyFill="1" applyBorder="1" applyAlignment="1">
      <x:alignment vertical="top" wrapText="1"/>
    </x:xf>
    <x:xf numFmtId="0" fontId="11" fillId="6" borderId="61" xfId="0" applyNumberFormat="1" applyFont="1" applyFill="1" applyBorder="1" applyAlignment="1">
      <x:alignment vertical="top" wrapText="1"/>
    </x:xf>
    <x:xf numFmtId="0" fontId="30" fillId="51" borderId="0" xfId="0" applyNumberFormat="1" applyFont="1" applyFill="1" applyBorder="1" applyAlignment="1">
      <x:alignment horizontal="left" vertical="top" wrapText="1"/>
    </x:xf>
    <x:xf numFmtId="0" fontId="11" fillId="0" borderId="36" xfId="0" applyNumberFormat="1" applyFont="1" applyFill="1" applyBorder="1" applyAlignment="1">
      <x:alignment vertical="top" wrapText="1"/>
    </x:xf>
    <x:xf numFmtId="0" fontId="11" fillId="0" xfId="0" applyNumberFormat="1" applyFont="1" applyFill="1" applyBorder="0" applyAlignment="1">
      <x:alignment vertical="top" wrapText="1"/>
    </x:xf>
    <x:xf numFmtId="0" fontId="11" fillId="0" borderId="42" xfId="0" applyNumberFormat="1" applyFont="1" applyFill="1" applyBorder="1" applyAlignment="1">
      <x:alignment vertical="top" wrapText="1"/>
    </x:xf>
    <x:xf numFmtId="0" fontId="20" fillId="52" borderId="31" xfId="0" applyNumberFormat="1" applyFont="1" applyFill="1" applyBorder="1" applyAlignment="1">
      <x:alignment vertical="center" wrapText="1"/>
    </x:xf>
    <x:xf numFmtId="0" fontId="20" fillId="52" borderId="32" xfId="0" applyNumberFormat="1" applyFont="1" applyFill="1" applyBorder="1" applyAlignment="1">
      <x:alignment vertical="center" wrapText="1"/>
    </x:xf>
    <x:xf numFmtId="0" fontId="20" fillId="52" borderId="33" xfId="0" applyNumberFormat="1" applyFont="1" applyFill="1" applyBorder="1" applyAlignment="1">
      <x:alignment vertical="center" wrapText="1"/>
    </x:xf>
    <x:xf numFmtId="200" fontId="22" fillId="53" borderId="34" xfId="0" applyNumberFormat="1" applyFont="1" applyFill="1" applyBorder="1" applyAlignment="1">
      <x:alignment vertical="center" wrapText="1"/>
    </x:xf>
    <x:xf numFmtId="201" fontId="22" fillId="53" borderId="38" xfId="0" applyNumberFormat="1" applyFont="1" applyFill="1" applyBorder="1" applyAlignment="1">
      <x:alignment vertical="center" wrapText="1"/>
    </x:xf>
    <x:xf numFmtId="202" fontId="22" fillId="53" borderId="38" xfId="0" applyNumberFormat="1" applyFont="1" applyFill="1" applyBorder="1" applyAlignment="1">
      <x:alignment vertical="center" wrapText="1"/>
    </x:xf>
    <x:xf numFmtId="203" fontId="22" fillId="53" borderId="38" xfId="0" applyNumberFormat="1" applyFont="1" applyFill="1" applyBorder="1" applyAlignment="1">
      <x:alignment vertical="center" wrapText="1"/>
    </x:xf>
    <x:xf numFmtId="204" fontId="22" fillId="53" borderId="38" xfId="0" applyNumberFormat="1" applyFont="1" applyFill="1" applyBorder="1" applyAlignment="1">
      <x:alignment vertical="center" wrapText="1"/>
    </x:xf>
    <x:xf numFmtId="205" fontId="22" fillId="53" borderId="38" xfId="0" applyNumberFormat="1" applyFont="1" applyFill="1" applyBorder="1" applyAlignment="1">
      <x:alignment vertical="center" wrapText="1"/>
    </x:xf>
    <x:xf numFmtId="201" fontId="22" fillId="53" borderId="40" xfId="0" applyNumberFormat="1" applyFont="1" applyFill="1" applyBorder="1" applyAlignment="1">
      <x:alignment vertical="center" wrapText="1"/>
    </x:xf>
    <x:xf numFmtId="0" fontId="23" fillId="54" borderId="37" xfId="0" applyNumberFormat="1" applyFont="1" applyFill="1" applyBorder="1" applyAlignment="1">
      <x:alignment vertical="top" wrapText="1"/>
    </x:xf>
    <x:xf numFmtId="0" fontId="23" fillId="54" borderId="39" xfId="0" applyNumberFormat="1" applyFont="1" applyFill="1" applyBorder="1" applyAlignment="1">
      <x:alignment vertical="top" wrapText="1"/>
    </x:xf>
    <x:xf numFmtId="0" fontId="23" fillId="54" borderId="43" xfId="0" applyNumberFormat="1" applyFont="1" applyFill="1" applyBorder="1" applyAlignment="1">
      <x:alignment vertical="top" wrapText="1"/>
    </x:xf>
    <x:xf numFmtId="0" fontId="23" fillId="54" borderId="37" xfId="0" applyNumberFormat="1" applyFont="1" applyFill="1" applyBorder="1" applyAlignment="1">
      <x:alignment vertical="center" wrapText="1"/>
    </x:xf>
    <x:xf numFmtId="0" fontId="23" fillId="54" borderId="39" xfId="0" applyNumberFormat="1" applyFont="1" applyFill="1" applyBorder="1" applyAlignment="1">
      <x:alignment vertical="center" wrapText="1"/>
    </x:xf>
    <x:xf numFmtId="0" fontId="23" fillId="54" borderId="43" xfId="0" applyNumberFormat="1" applyFont="1" applyFill="1" applyBorder="1" applyAlignment="1">
      <x:alignment vertical="center" wrapText="1"/>
    </x:xf>
    <x:xf numFmtId="0" fontId="23" fillId="54" borderId="34" xfId="0" applyNumberFormat="1" applyFont="1" applyFill="1" applyBorder="1" applyAlignment="1">
      <x:alignment vertical="top" wrapText="1"/>
    </x:xf>
    <x:xf numFmtId="0" fontId="23" fillId="54" borderId="38" xfId="0" applyNumberFormat="1" applyFont="1" applyFill="1" applyBorder="1" applyAlignment="1">
      <x:alignment vertical="top" wrapText="1"/>
    </x:xf>
    <x:xf numFmtId="0" fontId="23" fillId="54" borderId="40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b/>
        <x:color rgb="166534"/>
      </x:font>
      <x:fill>
        <x:patternFill>
          <x:bgColor rgb="DCFCE7"/>
        </x:patternFill>
      </x:fill>
    </x:dxf>
    <x:dxf>
      <x:font>
        <x:b/>
        <x:color rgb="991B1B"/>
      </x:font>
      <x:fill>
        <x:patternFill>
          <x:bgColor rgb="FEE2E2"/>
        </x:patternFill>
      </x:fill>
    </x:dxf>
    <x:dxf>
      <x:font>
        <x:b/>
        <x:color rgb="166534"/>
      </x:font>
      <x:fill>
        <x:patternFill>
          <x:bgColor rgb="DCFCE7"/>
        </x:patternFill>
      </x:fill>
    </x:dxf>
    <x:dxf>
      <x:font>
        <x:b/>
        <x:color rgb="991B1B"/>
      </x:font>
      <x:fill>
        <x:patternFill>
          <x:bgColor rgb="FEE2E2"/>
        </x:patternFill>
      </x:fill>
    </x:dxf>
    <x:dxf>
      <x:font>
        <x:b/>
        <x:color rgb="166534"/>
      </x:font>
      <x:fill>
        <x:patternFill>
          <x:bgColor rgb="DCFCE7"/>
        </x:patternFill>
      </x:fill>
    </x:dxf>
    <x:dxf>
      <x:font>
        <x:b/>
        <x:color rgb="991B1B"/>
      </x:font>
      <x:fill>
        <x:patternFill>
          <x:bgColor rgb="FEE2E2"/>
        </x:patternFill>
      </x:fill>
    </x:dxf>
    <x:dxf>
      <x:font>
        <x:b/>
        <x:color rgb="92400E"/>
      </x:font>
      <x:fill>
        <x:patternFill>
          <x:bgColor rgb="FDE68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4aa5d0a52148a6" /><Relationship Type="http://schemas.openxmlformats.org/officeDocument/2006/relationships/theme" Target="/xl/theme/theme1.xml" Id="Rb15c735dd95b43c5" /><Relationship Type="http://schemas.openxmlformats.org/officeDocument/2006/relationships/sharedStrings" Target="/xl/sharedStrings.xml" Id="Rf606de6885564626" /><Relationship Type="http://schemas.openxmlformats.org/officeDocument/2006/relationships/worksheet" Target="/xl/worksheets/sheet1.xml" Id="Rf680034c1f42423a" /><Relationship Type="http://schemas.openxmlformats.org/officeDocument/2006/relationships/worksheet" Target="/xl/worksheets/sheet2.xml" Id="R94906e432ed543f4" /><Relationship Type="http://schemas.openxmlformats.org/officeDocument/2006/relationships/worksheet" Target="/xl/worksheets/sheet3.xml" Id="R20a1e9f073dc46b5" /><Relationship Type="http://schemas.openxmlformats.org/officeDocument/2006/relationships/worksheet" Target="/xl/worksheets/sheet4.xml" Id="Rc82462b611d2415f" /><Relationship Type="http://schemas.openxmlformats.org/officeDocument/2006/relationships/worksheet" Target="/xl/worksheets/sheet5.xml" Id="R22d3dfd71e1f4204" /><Relationship Type="http://schemas.openxmlformats.org/officeDocument/2006/relationships/worksheet" Target="/xl/worksheets/sheet6.xml" Id="R3bfceec202e3481a" /><Relationship Type="http://schemas.openxmlformats.org/officeDocument/2006/relationships/worksheet" Target="/xl/worksheets/sheet7.xml" Id="Rb2b3b8ad7a614e57" /><Relationship Type="http://schemas.openxmlformats.org/officeDocument/2006/relationships/worksheet" Target="/xl/worksheets/sheet8.xml" Id="Ra7f2748e27744868" /><Relationship Type="http://schemas.openxmlformats.org/officeDocument/2006/relationships/worksheet" Target="/xl/worksheets/sheet9.xml" Id="R752afe0a1db4405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49b228dd59e4b62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9ef7c86fc0514b2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Scenario Revenue And Profit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MAU</c:v>
          </c:tx>
          <c:cat>
            <c:strRef>
              <c:f>'Exec'!$A$65:$A$68</c:f>
              <c:strCache>
                <c:ptCount val="0"/>
              </c:strCache>
            </c:strRef>
          </c:cat>
          <c:val>
            <c:numRef>
              <c:f>'Exec'!$B$65:$B$68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Entrants</c:v>
          </c:tx>
          <c:cat>
            <c:strRef>
              <c:f>'Exec'!$A$65:$A$68</c:f>
              <c:strCache>
                <c:ptCount val="0"/>
              </c:strCache>
            </c:strRef>
          </c:cat>
          <c:val>
            <c:numRef>
              <c:f>'Exec'!$C$65:$C$68</c:f>
              <c:numCache>
                <c:formatCode>#,##0</c:formatCode>
                <c:ptCount val="0"/>
              </c:numCache>
            </c:numRef>
          </c:val>
        </c:ser>
        <c:ser>
          <c:idx val="2"/>
          <c:order val="2"/>
          <c:tx>
            <c:v>Participant-Days</c:v>
          </c:tx>
          <c:cat>
            <c:strRef>
              <c:f>'Exec'!$A$65:$A$68</c:f>
              <c:strCache>
                <c:ptCount val="0"/>
              </c:strCache>
            </c:strRef>
          </c:cat>
          <c:val>
            <c:numRef>
              <c:f>'Exec'!$D$65:$D$68</c:f>
              <c:numCache>
                <c:formatCode>#,##0</c:formatCode>
                <c:ptCount val="0"/>
              </c:numCache>
            </c:numRef>
          </c:val>
        </c:ser>
        <c:ser>
          <c:idx val="3"/>
          <c:order val="3"/>
          <c:tx>
            <c:v>Sponsor Revenue</c:v>
          </c:tx>
          <c:cat>
            <c:strRef>
              <c:f>'Exec'!$A$65:$A$68</c:f>
              <c:strCache>
                <c:ptCount val="0"/>
              </c:strCache>
            </c:strRef>
          </c:cat>
          <c:val>
            <c:numRef>
              <c:f>'Exec'!$E$65:$E$68</c:f>
              <c:numCache>
                <c:formatCode>$#,##0;[Red]($#,##0);-</c:formatCode>
                <c:ptCount val="0"/>
              </c:numCache>
            </c:numRef>
          </c:val>
        </c:ser>
        <c:ser>
          <c:idx val="4"/>
          <c:order val="4"/>
          <c:tx>
            <c:v>Total Revenue</c:v>
          </c:tx>
          <c:cat>
            <c:strRef>
              <c:f>'Exec'!$A$65:$A$68</c:f>
              <c:strCache>
                <c:ptCount val="0"/>
              </c:strCache>
            </c:strRef>
          </c:cat>
          <c:val>
            <c:numRef>
              <c:f>'Exec'!$F$65:$F$68</c:f>
              <c:numCache>
                <c:formatCode>$#,##0;[Red]($#,##0);-</c:formatCode>
                <c:ptCount val="0"/>
              </c:numCache>
            </c:numRef>
          </c:val>
        </c:ser>
        <c:ser>
          <c:idx val="5"/>
          <c:order val="5"/>
          <c:tx>
            <c:v>Operating Profit</c:v>
          </c:tx>
          <c:cat>
            <c:strRef>
              <c:f>'Exec'!$A$65:$A$68</c:f>
              <c:strCache>
                <c:ptCount val="0"/>
              </c:strCache>
            </c:strRef>
          </c:cat>
          <c:val>
            <c:numRef>
              <c:f>'Exec'!$G$65:$G$68</c:f>
              <c:numCache>
                <c:formatCode>$#,##0;[Red]($#,##0);-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Revenue And Profit Ramp</a:t>
            </a:r>
          </a:p>
        </c:rich>
      </c:tx>
      <c:overlay val="0"/>
    </c:title>
    <c:autoTitleDeleted val="0"/>
    <c:plotArea>
      <c:layout/>
      <c:lineChart>
        <c:ser>
          <c:idx val="0"/>
          <c:order val="0"/>
          <c:tx>
            <c:v>Series 1</c:v>
          </c:tx>
          <c:cat>
            <c:strRef>
              <c:f>'Revenue_Model'!$A$13:$A$23</c:f>
              <c:strCache>
                <c:ptCount val="0"/>
              </c:strCache>
            </c:strRef>
          </c:cat>
          <c:val>
            <c:numRef>
              <c:f>'Revenue_Model'!$B$13:$B$23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Series 2</c:v>
          </c:tx>
          <c:cat>
            <c:strRef>
              <c:f>'Revenue_Model'!$A$13:$A$23</c:f>
              <c:strCache>
                <c:ptCount val="0"/>
              </c:strCache>
            </c:strRef>
          </c:cat>
          <c:val>
            <c:numRef>
              <c:f>'Revenue_Model'!$C$13:$C$23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2"/>
          <c:order val="2"/>
          <c:tx>
            <c:v>Series 3</c:v>
          </c:tx>
          <c:cat>
            <c:strRef>
              <c:f>'Revenue_Model'!$A$13:$A$23</c:f>
              <c:strCache>
                <c:ptCount val="0"/>
              </c:strCache>
            </c:strRef>
          </c:cat>
          <c:val>
            <c:numRef>
              <c:f>'Revenue_Model'!$D$13:$D$23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3"/>
          <c:order val="3"/>
          <c:tx>
            <c:v>Series 4</c:v>
          </c:tx>
          <c:cat>
            <c:strRef>
              <c:f>'Revenue_Model'!$A$13:$A$23</c:f>
              <c:strCache>
                <c:ptCount val="0"/>
              </c:strCache>
            </c:strRef>
          </c:cat>
          <c:val>
            <c:numRef>
              <c:f>'Revenue_Model'!$E$13:$E$23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4"/>
          <c:order val="4"/>
          <c:tx>
            <c:v>Series 5</c:v>
          </c:tx>
          <c:cat>
            <c:strRef>
              <c:f>'Revenue_Model'!$A$13:$A$23</c:f>
              <c:strCache>
                <c:ptCount val="0"/>
              </c:strCache>
            </c:strRef>
          </c:cat>
          <c:val>
            <c:numRef>
              <c:f>'Revenue_Model'!$F$13:$F$23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5"/>
          <c:order val="5"/>
          <c:tx>
            <c:v>Series 6</c:v>
          </c:tx>
          <c:cat>
            <c:strRef>
              <c:f>'Revenue_Model'!$A$13:$A$23</c:f>
              <c:strCache>
                <c:ptCount val="0"/>
              </c:strCache>
            </c:strRef>
          </c:cat>
          <c:val>
            <c:numRef>
              <c:f>'Revenue_Model'!$G$13:$G$23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6"/>
          <c:order val="6"/>
          <c:tx>
            <c:v>Series 7</c:v>
          </c:tx>
          <c:cat>
            <c:strRef>
              <c:f>'Revenue_Model'!$A$13:$A$23</c:f>
              <c:strCache>
                <c:ptCount val="0"/>
              </c:strCache>
            </c:strRef>
          </c:cat>
          <c:val>
            <c:numRef>
              <c:f>'Revenue_Model'!$H$13:$H$23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7"/>
          <c:order val="7"/>
          <c:tx>
            <c:v>Series 8</c:v>
          </c:tx>
          <c:cat>
            <c:strRef>
              <c:f>'Revenue_Model'!$A$13:$A$23</c:f>
              <c:strCache>
                <c:ptCount val="0"/>
              </c:strCache>
            </c:strRef>
          </c:cat>
          <c:val>
            <c:numRef>
              <c:f>'Revenue_Model'!$I$13:$I$23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8"/>
          <c:order val="8"/>
          <c:tx>
            <c:v>Series 9</c:v>
          </c:tx>
          <c:cat>
            <c:strRef>
              <c:f>'Revenue_Model'!$A$13:$A$23</c:f>
              <c:strCache>
                <c:ptCount val="0"/>
              </c:strCache>
            </c:strRef>
          </c:cat>
          <c:val>
            <c:numRef>
              <c:f>'Revenue_Model'!$J$13:$J$23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9"/>
          <c:order val="9"/>
          <c:tx>
            <c:v>Series 10</c:v>
          </c:tx>
          <c:cat>
            <c:strRef>
              <c:f>'Revenue_Model'!$A$13:$A$23</c:f>
              <c:strCache>
                <c:ptCount val="0"/>
              </c:strCache>
            </c:strRef>
          </c:cat>
          <c:val>
            <c:numRef>
              <c:f>'Revenue_Model'!$K$13:$K$23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10"/>
          <c:order val="10"/>
          <c:tx>
            <c:v>Series 11</c:v>
          </c:tx>
          <c:cat>
            <c:strRef>
              <c:f>'Revenue_Model'!$A$13:$A$23</c:f>
              <c:strCache>
                <c:ptCount val="0"/>
              </c:strCache>
            </c:strRef>
          </c:cat>
          <c:val>
            <c:numRef>
              <c:f>'Revenue_Model'!$L$13:$L$23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11"/>
          <c:order val="11"/>
          <c:tx>
            <c:v>Series 12</c:v>
          </c:tx>
          <c:cat>
            <c:strRef>
              <c:f>'Revenue_Model'!$A$13:$A$23</c:f>
              <c:strCache>
                <c:ptCount val="0"/>
              </c:strCache>
            </c:strRef>
          </c:cat>
          <c:val>
            <c:numRef>
              <c:f>'Revenue_Model'!$M$13:$M$23</c:f>
              <c:numCache>
                <c:formatCode>$#,##0;[Red]($#,##0);-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9</xdr:col>
      <xdr:colOff>0</xdr:colOff>
      <xdr:row>37</xdr:row>
      <xdr:rowOff>0</xdr:rowOff>
    </xdr:from>
    <xdr:ext cx="5905500" cy="3143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49b228dd59e4b6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26</xdr:row>
      <xdr:rowOff>0</xdr:rowOff>
    </xdr:from>
    <xdr:ext cx="6858000" cy="3143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f7c86fc0514b2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04c7d5d230d483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2c73c7b5680b4ba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.709999084472656" hidden="0" customWidth="1"/>
    <x:col min="2" max="2" width="20" hidden="0" customWidth="1"/>
    <x:col min="3" max="3" width="22.139999389648438" hidden="0" customWidth="1"/>
    <x:col min="4" max="4" width="39.290000915527344" hidden="0" customWidth="1"/>
    <x:col min="5" max="5" width="16.43000030517578" hidden="0" customWidth="1"/>
    <x:col min="6" max="6" width="35" hidden="0" customWidth="1"/>
    <x:col min="7" max="7" width="22.139999389648438" hidden="0" customWidth="1"/>
    <x:col min="8" max="8" width="12.859999656677246" hidden="0" customWidth="1"/>
    <x:col min="9" max="9" width="3.569999933242798" hidden="0" customWidth="1"/>
    <x:col min="10" max="10" width="20.709999084472656" hidden="0" customWidth="1"/>
    <x:col min="11" max="11" width="39.290000915527344" hidden="0" customWidth="1"/>
    <x:col min="12" max="12" width="19.290000915527344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</x:cols>
  <x:sheetData>
    <x:row r="1" ht="25.5" customHeight="1">
      <x:c r="A1" s="1310" t="str">
        <x:v>Just20 Sponsor Financial Model - Exec Control Center</x:v>
      </x:c>
      <x:c r="B1" s="1310"/>
      <x:c r="C1" s="1310"/>
      <x:c r="D1" s="1310"/>
      <x:c r="E1" s="1310"/>
      <x:c r="F1" s="1310"/>
      <x:c r="G1" s="1310"/>
      <x:c r="H1" s="1310"/>
      <x:c r="I1" s="1310"/>
      <x:c r="J1" s="1310"/>
      <x:c r="K1" s="1311"/>
      <x:c r="L1" s="1311"/>
      <x:c r="M1" s="698"/>
      <x:c r="N1" s="698"/>
      <x:c r="O1" s="698"/>
      <x:c r="P1" s="698"/>
      <x:c r="Q1" s="698"/>
      <x:c r="R1" s="698"/>
      <x:c r="S1" s="698"/>
      <x:c r="T1" s="698"/>
      <x:c r="U1" s="698"/>
      <x:c r="V1" s="698"/>
      <x:c r="W1" s="698"/>
      <x:c r="X1" s="698"/>
      <x:c r="Y1" s="698"/>
      <x:c r="Z1" s="698"/>
    </x:row>
    <x:row r="2" ht="30" customHeight="1">
      <x:c r="A2" s="1312" t="str">
        <x:v>Use the dropdowns and yellow manual override cells to stress test bear, average, bull, and breakout sponsorship scenarios. Outputs are formula-linked to the model tabs.</x:v>
      </x:c>
      <x:c r="B2" s="1312"/>
      <x:c r="C2" s="1312"/>
      <x:c r="D2" s="1312"/>
      <x:c r="E2" s="1312"/>
      <x:c r="F2" s="1312"/>
      <x:c r="G2" s="1312"/>
      <x:c r="H2" s="1312"/>
      <x:c r="I2" s="1312"/>
      <x:c r="J2" s="1312"/>
      <x:c r="K2" s="1313"/>
      <x:c r="L2" s="1313"/>
      <x:c r="M2" s="939"/>
      <x:c r="N2" s="939"/>
      <x:c r="O2" s="939"/>
      <x:c r="P2" s="939"/>
      <x:c r="Q2" s="939"/>
      <x:c r="R2" s="939"/>
      <x:c r="S2" s="939"/>
      <x:c r="T2" s="939"/>
      <x:c r="U2" s="939"/>
      <x:c r="V2" s="939"/>
      <x:c r="W2" s="939"/>
      <x:c r="X2" s="939"/>
      <x:c r="Y2" s="939"/>
      <x:c r="Z2" s="939"/>
    </x:row>
    <x:row r="3">
      <x:c r="A3" s="700"/>
      <x:c r="B3" s="700"/>
      <x:c r="C3" s="700"/>
      <x:c r="D3" s="700"/>
      <x:c r="E3" s="700"/>
      <x:c r="F3" s="700"/>
      <x:c r="G3" s="700"/>
      <x:c r="H3" s="700"/>
      <x:c r="I3" s="700"/>
      <x:c r="J3" s="700"/>
      <x:c r="K3" s="698"/>
      <x:c r="L3" s="698"/>
      <x:c r="M3" s="698"/>
      <x:c r="N3" s="698"/>
      <x:c r="O3" s="698"/>
      <x:c r="P3" s="698"/>
      <x:c r="Q3" s="698"/>
      <x:c r="R3" s="698"/>
      <x:c r="S3" s="698"/>
      <x:c r="T3" s="698"/>
      <x:c r="U3" s="698"/>
      <x:c r="V3" s="698"/>
      <x:c r="W3" s="698"/>
      <x:c r="X3" s="698"/>
      <x:c r="Y3" s="698"/>
      <x:c r="Z3" s="698"/>
    </x:row>
    <x:row r="4">
      <x:c r="A4" s="1315" t="str">
        <x:v>Scenario Controls</x:v>
      </x:c>
      <x:c r="B4" s="1315"/>
      <x:c r="C4" s="1315"/>
      <x:c r="D4" s="1315"/>
      <x:c r="E4" s="1315"/>
      <x:c r="F4" s="1315"/>
      <x:c r="G4" s="316"/>
      <x:c r="H4" s="316"/>
      <x:c r="I4" s="316"/>
      <x:c r="J4" s="316"/>
    </x:row>
    <x:row r="5">
      <x:c r="A5" s="318" t="str">
        <x:v>Control</x:v>
      </x:c>
      <x:c r="B5" s="319" t="str">
        <x:v>Selection</x:v>
      </x:c>
      <x:c r="C5" s="320" t="str">
        <x:v>How to use</x:v>
      </x:c>
      <x:c r="D5" s="316"/>
      <x:c r="E5" s="316"/>
      <x:c r="F5" s="316"/>
      <x:c r="G5" s="316"/>
      <x:c r="H5" s="316"/>
      <x:c r="I5" s="316"/>
      <x:c r="J5" s="1246" t="str">
        <x:v>Finance Color Legend</x:v>
      </x:c>
      <x:c r="K5" s="1247" t="str"/>
      <x:c r="L5" s="1247" t="str"/>
    </x:row>
    <x:row r="6" ht="31.5" customHeight="1">
      <x:c r="A6" s="267" t="str">
        <x:v>Scenario</x:v>
      </x:c>
      <x:c r="B6" s="1350" t="str">
        <x:v>Average</x:v>
      </x:c>
      <x:c r="C6" s="1034" t="str">
        <x:v>Dropdown: Bear / Average / Bull / Breakout.</x:v>
      </x:c>
      <x:c r="D6" s="316"/>
      <x:c r="E6" s="316"/>
      <x:c r="F6" s="316"/>
      <x:c r="G6" s="316"/>
      <x:c r="H6" s="316"/>
      <x:c r="I6" s="316"/>
      <x:c r="J6" s="495" t="str">
        <x:v>Blue</x:v>
      </x:c>
      <x:c r="K6" s="506" t="str">
        <x:v>Editable hardcoded inputs / manual overrides</x:v>
      </x:c>
      <x:c r="L6" s="507" t="str">
        <x:v>Change these</x:v>
      </x:c>
    </x:row>
    <x:row r="7" ht="31.5" customHeight="1">
      <x:c r="A7" s="270" t="str">
        <x:v>Input Mode</x:v>
      </x:c>
      <x:c r="B7" s="1351" t="str">
        <x:v>Scenario Defaults</x:v>
      </x:c>
      <x:c r="C7" s="1035" t="str">
        <x:v>Use Scenario Defaults or Manual Overrides.</x:v>
      </x:c>
      <x:c r="D7" s="316"/>
      <x:c r="E7" s="316"/>
      <x:c r="F7" s="316"/>
      <x:c r="G7" s="316"/>
      <x:c r="H7" s="316"/>
      <x:c r="I7" s="316"/>
      <x:c r="J7" s="498" t="str">
        <x:v>Black</x:v>
      </x:c>
      <x:c r="K7" s="508" t="str">
        <x:v>Local formulas and calculations</x:v>
      </x:c>
      <x:c r="L7" s="509" t="str">
        <x:v>Do not overwrite</x:v>
      </x:c>
    </x:row>
    <x:row r="8" ht="31.5" customHeight="1">
      <x:c r="A8" s="270" t="str">
        <x:v>Sponsor Revenue Method</x:v>
      </x:c>
      <x:c r="B8" s="1351" t="str">
        <x:v>Participant-Day</x:v>
      </x:c>
      <x:c r="C8" s="1035" t="str">
        <x:v>Participant-Day uses participant-days; Package Blocks uses active sponsor blocks x fee.</x:v>
      </x:c>
      <x:c r="D8" s="316"/>
      <x:c r="E8" s="316"/>
      <x:c r="F8" s="316"/>
      <x:c r="G8" s="316"/>
      <x:c r="H8" s="316"/>
      <x:c r="I8" s="316"/>
      <x:c r="J8" s="501" t="str">
        <x:v>Green</x:v>
      </x:c>
      <x:c r="K8" s="508" t="str">
        <x:v>Internal worksheet links</x:v>
      </x:c>
      <x:c r="L8" s="509" t="str">
        <x:v>Linked formula</x:v>
      </x:c>
    </x:row>
    <x:row r="9" ht="31.5" customHeight="1">
      <x:c r="A9" s="273" t="str">
        <x:v>Region View</x:v>
      </x:c>
      <x:c r="B9" s="1352" t="str">
        <x:v>Global</x:v>
      </x:c>
      <x:c r="C9" s="1036" t="str">
        <x:v>Use for discussion only; region detail is on the Regions tab.</x:v>
      </x:c>
      <x:c r="D9" s="316"/>
      <x:c r="E9" s="316"/>
      <x:c r="F9" s="316"/>
      <x:c r="G9" s="316"/>
      <x:c r="H9" s="316"/>
      <x:c r="I9" s="316"/>
      <x:c r="J9" s="502" t="str">
        <x:v>Red</x:v>
      </x:c>
      <x:c r="K9" s="508" t="str">
        <x:v>External/source references</x:v>
      </x:c>
      <x:c r="L9" s="509" t="str">
        <x:v>Source trail</x:v>
      </x:c>
    </x:row>
    <x:row r="10">
      <x:c r="A10" s="316"/>
      <x:c r="B10" s="316"/>
      <x:c r="C10" s="316"/>
      <x:c r="D10" s="316"/>
      <x:c r="E10" s="316"/>
      <x:c r="F10" s="316"/>
      <x:c r="G10" s="316"/>
      <x:c r="H10" s="316"/>
      <x:c r="I10" s="316"/>
      <x:c r="J10" s="1248" t="str">
        <x:v>Yellow fill</x:v>
      </x:c>
      <x:c r="K10" s="1249" t="str">
        <x:v>Key assumptions or user input cells</x:v>
      </x:c>
      <x:c r="L10" s="1250" t="str">
        <x:v>Update carefully</x:v>
      </x:c>
    </x:row>
    <x:row r="11">
      <x:c r="A11" s="1315" t="str">
        <x:v>Editable Drivers</x:v>
      </x:c>
      <x:c r="B11" s="1315"/>
      <x:c r="C11" s="1315"/>
      <x:c r="D11" s="1315"/>
      <x:c r="E11" s="1315"/>
      <x:c r="F11" s="1315"/>
      <x:c r="G11" s="316"/>
      <x:c r="H11" s="316"/>
      <x:c r="I11" s="316"/>
      <x:c r="J11" s="316"/>
    </x:row>
    <x:row r="12">
      <x:c r="A12" s="318" t="str">
        <x:v>Metric</x:v>
      </x:c>
      <x:c r="B12" s="319" t="str">
        <x:v>Scenario Default</x:v>
      </x:c>
      <x:c r="C12" s="319" t="str">
        <x:v>Manual Override</x:v>
      </x:c>
      <x:c r="D12" s="319" t="str">
        <x:v>Active Value</x:v>
      </x:c>
      <x:c r="E12" s="319" t="str">
        <x:v>Unit</x:v>
      </x:c>
      <x:c r="F12" s="320" t="str">
        <x:v>Source</x:v>
      </x:c>
      <x:c r="G12" s="316"/>
      <x:c r="H12" s="316"/>
      <x:c r="I12" s="316"/>
      <x:c r="J12" s="316"/>
    </x:row>
    <x:row r="13" ht="18" customHeight="1">
      <x:c r="A13" s="267" t="str">
        <x:v>Global MAU</x:v>
      </x:c>
      <x:c r="B13" s="1353" t="n">
        <x:f>INDEX(Assumptions!$B$6:$B$9,MATCH($B$6,Assumptions!$A$6:$A$9,0))</x:f>
        <x:v>1000000</x:v>
      </x:c>
      <x:c r="C13" s="1254" t="str"/>
      <x:c r="D13" s="722" t="n">
        <x:f>IF($B$7="Manual Overrides",IF(C13="",B13,C13),B13)</x:f>
        <x:v>1000000</x:v>
      </x:c>
      <x:c r="E13" s="1037" t="str">
        <x:v>users</x:v>
      </x:c>
      <x:c r="F13" s="1360" t="str">
        <x:v>moonshot.md</x:v>
      </x:c>
      <x:c r="G13" s="316"/>
      <x:c r="H13" s="316"/>
      <x:c r="I13" s="316"/>
      <x:c r="J13" s="316"/>
    </x:row>
    <x:row r="14" ht="18" customHeight="1">
      <x:c r="A14" s="270" t="str">
        <x:v>Sponsored entrant rate</x:v>
      </x:c>
      <x:c r="B14" s="1354" t="n">
        <x:f>INDEX(Assumptions!$C$6:$C$9,MATCH($B$6,Assumptions!$A$6:$A$9,0))</x:f>
        <x:v>0.1</x:v>
      </x:c>
      <x:c r="C14" s="1255" t="str"/>
      <x:c r="D14" s="617" t="n">
        <x:f>IF($B$7="Manual Overrides",IF(C14="",B14,C14),B14)</x:f>
        <x:v>0.1</x:v>
      </x:c>
      <x:c r="E14" s="1039" t="str">
        <x:v>% of MAU</x:v>
      </x:c>
      <x:c r="F14" s="1361" t="str">
        <x:v>moonshot.md</x:v>
      </x:c>
      <x:c r="G14" s="316"/>
      <x:c r="H14" s="316"/>
      <x:c r="I14" s="316"/>
      <x:c r="J14" s="316"/>
    </x:row>
    <x:row r="15" ht="18" customHeight="1">
      <x:c r="A15" s="270" t="str">
        <x:v>Completion rate</x:v>
      </x:c>
      <x:c r="B15" s="1354" t="n">
        <x:f>INDEX(Assumptions!$D$6:$D$9,MATCH($B$6,Assumptions!$A$6:$A$9,0))</x:f>
        <x:v>0.6</x:v>
      </x:c>
      <x:c r="C15" s="1255" t="str"/>
      <x:c r="D15" s="617" t="n">
        <x:f>IF($B$7="Manual Overrides",IF(C15="",B15,C15),B15)</x:f>
        <x:v>0.6</x:v>
      </x:c>
      <x:c r="E15" s="1039" t="str">
        <x:v>% of entrants</x:v>
      </x:c>
      <x:c r="F15" s="1361" t="str">
        <x:v>moonshot.md</x:v>
      </x:c>
      <x:c r="G15" s="316"/>
      <x:c r="H15" s="316"/>
      <x:c r="I15" s="316"/>
      <x:c r="J15" s="316"/>
    </x:row>
    <x:row r="16" ht="18" customHeight="1">
      <x:c r="A16" s="270" t="str">
        <x:v>Daily engagement rate</x:v>
      </x:c>
      <x:c r="B16" s="1354" t="n">
        <x:f>INDEX(Assumptions!$E$6:$E$9,MATCH($B$6,Assumptions!$A$6:$A$9,0))</x:f>
        <x:v>0.65</x:v>
      </x:c>
      <x:c r="C16" s="1255" t="str"/>
      <x:c r="D16" s="617" t="n">
        <x:f>IF($B$7="Manual Overrides",IF(C16="",B16,C16),B16)</x:f>
        <x:v>0.65</x:v>
      </x:c>
      <x:c r="E16" s="1039" t="str">
        <x:v>% of entrants/day</x:v>
      </x:c>
      <x:c r="F16" s="1361" t="str">
        <x:v>moonshot.md</x:v>
      </x:c>
      <x:c r="G16" s="316"/>
      <x:c r="H16" s="316"/>
      <x:c r="I16" s="316"/>
      <x:c r="J16" s="316"/>
    </x:row>
    <x:row r="17" ht="18" customHeight="1">
      <x:c r="A17" s="270" t="str">
        <x:v>Challenge days</x:v>
      </x:c>
      <x:c r="B17" s="1355" t="n">
        <x:f>INDEX(Assumptions!$F$6:$F$9,MATCH($B$6,Assumptions!$A$6:$A$9,0))</x:f>
        <x:v>30</x:v>
      </x:c>
      <x:c r="C17" s="1256" t="str"/>
      <x:c r="D17" s="618" t="n">
        <x:f>IF($B$7="Manual Overrides",IF(C17="",B17,C17),B17)</x:f>
        <x:v>30</x:v>
      </x:c>
      <x:c r="E17" s="1039" t="str">
        <x:v>days</x:v>
      </x:c>
      <x:c r="F17" s="1361" t="str">
        <x:v>moonshot.md</x:v>
      </x:c>
      <x:c r="G17" s="316"/>
      <x:c r="H17" s="316"/>
      <x:c r="I17" s="316"/>
      <x:c r="J17" s="316"/>
    </x:row>
    <x:row r="18" ht="18" customHeight="1">
      <x:c r="A18" s="270" t="str">
        <x:v>User commitment fee</x:v>
      </x:c>
      <x:c r="B18" s="1356" t="n">
        <x:f>INDEX(Assumptions!$G$6:$G$9,MATCH($B$6,Assumptions!$A$6:$A$9,0))</x:f>
        <x:v>5</x:v>
      </x:c>
      <x:c r="C18" s="1257" t="str"/>
      <x:c r="D18" s="619" t="n">
        <x:f>IF($B$7="Manual Overrides",IF(C18="",B18,C18),B18)</x:f>
        <x:v>5</x:v>
      </x:c>
      <x:c r="E18" s="1039" t="str">
        <x:v>$ / entrant</x:v>
      </x:c>
      <x:c r="F18" s="1361" t="str">
        <x:v>moonshot.md</x:v>
      </x:c>
      <x:c r="G18" s="316"/>
      <x:c r="H18" s="316"/>
      <x:c r="I18" s="316"/>
      <x:c r="J18" s="316"/>
    </x:row>
    <x:row r="19" ht="18" customHeight="1">
      <x:c r="A19" s="270" t="str">
        <x:v>Completion rebate</x:v>
      </x:c>
      <x:c r="B19" s="1356" t="n">
        <x:f>INDEX(Assumptions!$H$6:$H$9,MATCH($B$6,Assumptions!$A$6:$A$9,0))</x:f>
        <x:v>3</x:v>
      </x:c>
      <x:c r="C19" s="1257" t="str"/>
      <x:c r="D19" s="619" t="n">
        <x:f>IF($B$7="Manual Overrides",IF(C19="",B19,C19),B19)</x:f>
        <x:v>3</x:v>
      </x:c>
      <x:c r="E19" s="1039" t="str">
        <x:v>$ / completer</x:v>
      </x:c>
      <x:c r="F19" s="1361" t="str">
        <x:v>moonshot.md</x:v>
      </x:c>
      <x:c r="G19" s="316"/>
      <x:c r="H19" s="316"/>
      <x:c r="I19" s="316"/>
      <x:c r="J19" s="316"/>
    </x:row>
    <x:row r="20" ht="18" customHeight="1">
      <x:c r="A20" s="270" t="str">
        <x:v>Payment reserve / entrant</x:v>
      </x:c>
      <x:c r="B20" s="1356" t="n">
        <x:f>INDEX(Assumptions!$I$6:$I$9,MATCH($B$6,Assumptions!$A$6:$A$9,0))</x:f>
        <x:v>0.6</x:v>
      </x:c>
      <x:c r="C20" s="1257" t="str"/>
      <x:c r="D20" s="619" t="n">
        <x:f>IF($B$7="Manual Overrides",IF(C20="",B20,C20),B20)</x:f>
        <x:v>0.6</x:v>
      </x:c>
      <x:c r="E20" s="1039" t="str">
        <x:v>$ / entrant</x:v>
      </x:c>
      <x:c r="F20" s="1361" t="str">
        <x:v>moonshot.md</x:v>
      </x:c>
      <x:c r="G20" s="316"/>
      <x:c r="H20" s="316"/>
      <x:c r="I20" s="316"/>
      <x:c r="J20" s="316"/>
    </x:row>
    <x:row r="21" ht="18" customHeight="1">
      <x:c r="A21" s="270" t="str">
        <x:v>Sponsor $ / participant-day</x:v>
      </x:c>
      <x:c r="B21" s="1356" t="n">
        <x:f>INDEX(Assumptions!$J$6:$J$9,MATCH($B$6,Assumptions!$A$6:$A$9,0))</x:f>
        <x:v>0.12</x:v>
      </x:c>
      <x:c r="C21" s="1257" t="str"/>
      <x:c r="D21" s="619" t="n">
        <x:f>IF($B$7="Manual Overrides",IF(C21="",B21,C21),B21)</x:f>
        <x:v>0.12</x:v>
      </x:c>
      <x:c r="E21" s="1039" t="str">
        <x:v>$ / participant-day</x:v>
      </x:c>
      <x:c r="F21" s="1361" t="str">
        <x:v>moonshot.md</x:v>
      </x:c>
      <x:c r="G21" s="316"/>
      <x:c r="H21" s="316"/>
      <x:c r="I21" s="316"/>
      <x:c r="J21" s="316"/>
    </x:row>
    <x:row r="22" ht="18" customHeight="1">
      <x:c r="A22" s="270" t="str">
        <x:v>Category exclusivity premium</x:v>
      </x:c>
      <x:c r="B22" s="1354" t="n">
        <x:f>INDEX(Assumptions!$K$6:$K$9,MATCH($B$6,Assumptions!$A$6:$A$9,0))</x:f>
        <x:v>0.5</x:v>
      </x:c>
      <x:c r="C22" s="1255" t="str"/>
      <x:c r="D22" s="617" t="n">
        <x:f>IF($B$7="Manual Overrides",IF(C22="",B22,C22),B22)</x:f>
        <x:v>0.5</x:v>
      </x:c>
      <x:c r="E22" s="1039" t="str">
        <x:v>% uplift</x:v>
      </x:c>
      <x:c r="F22" s="1361" t="str">
        <x:v>potential-monetization-optionspool.md</x:v>
      </x:c>
      <x:c r="G22" s="316"/>
      <x:c r="H22" s="316"/>
      <x:c r="I22" s="316"/>
      <x:c r="J22" s="316"/>
    </x:row>
    <x:row r="23" ht="18" customHeight="1">
      <x:c r="A23" s="270" t="str">
        <x:v>Active sponsor blocks</x:v>
      </x:c>
      <x:c r="B23" s="1355" t="n">
        <x:f>INDEX(Assumptions!$L$6:$L$9,MATCH($B$6,Assumptions!$A$6:$A$9,0))</x:f>
        <x:v>8</x:v>
      </x:c>
      <x:c r="C23" s="1256" t="str"/>
      <x:c r="D23" s="618" t="n">
        <x:f>IF($B$7="Manual Overrides",IF(C23="",B23,C23),B23)</x:f>
        <x:v>8</x:v>
      </x:c>
      <x:c r="E23" s="1039" t="str">
        <x:v>blocks</x:v>
      </x:c>
      <x:c r="F23" s="1361" t="str">
        <x:v>moonshot.md</x:v>
      </x:c>
      <x:c r="G23" s="316"/>
      <x:c r="H23" s="316"/>
      <x:c r="I23" s="316"/>
      <x:c r="J23" s="316"/>
    </x:row>
    <x:row r="24" ht="18" customHeight="1">
      <x:c r="A24" s="270" t="str">
        <x:v>Avg monthly sponsor fee / block</x:v>
      </x:c>
      <x:c r="B24" s="1357" t="n">
        <x:f>INDEX(Assumptions!$M$6:$M$9,MATCH($B$6,Assumptions!$A$6:$A$9,0))</x:f>
        <x:v>50000</x:v>
      </x:c>
      <x:c r="C24" s="1258" t="str"/>
      <x:c r="D24" s="620" t="n">
        <x:f>IF($B$7="Manual Overrides",IF(C24="",B24,C24),B24)</x:f>
        <x:v>50000</x:v>
      </x:c>
      <x:c r="E24" s="1039" t="str">
        <x:v>$ / block</x:v>
      </x:c>
      <x:c r="F24" s="1361" t="str">
        <x:v>moonshot.md</x:v>
      </x:c>
      <x:c r="G24" s="316"/>
      <x:c r="H24" s="316"/>
      <x:c r="I24" s="316"/>
      <x:c r="J24" s="316"/>
    </x:row>
    <x:row r="25" ht="18" customHeight="1">
      <x:c r="A25" s="270" t="str">
        <x:v>Payment processor fee rate</x:v>
      </x:c>
      <x:c r="B25" s="1354" t="n">
        <x:f>INDEX(Assumptions!$N$6:$N$9,MATCH($B$6,Assumptions!$A$6:$A$9,0))</x:f>
        <x:v>0.04</x:v>
      </x:c>
      <x:c r="C25" s="1255" t="str"/>
      <x:c r="D25" s="617" t="n">
        <x:f>IF($B$7="Manual Overrides",IF(C25="",B25,C25),B25)</x:f>
        <x:v>0.04</x:v>
      </x:c>
      <x:c r="E25" s="1039" t="str">
        <x:v>% of commitment gross</x:v>
      </x:c>
      <x:c r="F25" s="1361" t="str">
        <x:v>assumption</x:v>
      </x:c>
      <x:c r="G25" s="316"/>
      <x:c r="H25" s="316"/>
      <x:c r="I25" s="316"/>
      <x:c r="J25" s="316"/>
    </x:row>
    <x:row r="26" ht="18" customHeight="1">
      <x:c r="A26" s="270" t="str">
        <x:v>App Store fee rate</x:v>
      </x:c>
      <x:c r="B26" s="1354" t="n">
        <x:f>INDEX(Assumptions!$O$6:$O$9,MATCH($B$6,Assumptions!$A$6:$A$9,0))</x:f>
        <x:v>0.15</x:v>
      </x:c>
      <x:c r="C26" s="1255" t="str"/>
      <x:c r="D26" s="617" t="n">
        <x:f>IF($B$7="Manual Overrides",IF(C26="",B26,C26),B26)</x:f>
        <x:v>0.15</x:v>
      </x:c>
      <x:c r="E26" s="1039" t="str">
        <x:v>% of IAP gross</x:v>
      </x:c>
      <x:c r="F26" s="1361" t="str">
        <x:v>MONETIZATION.md</x:v>
      </x:c>
      <x:c r="G26" s="316"/>
      <x:c r="H26" s="316"/>
      <x:c r="I26" s="316"/>
      <x:c r="J26" s="316"/>
    </x:row>
    <x:row r="27" ht="18" customHeight="1">
      <x:c r="A27" s="270" t="str">
        <x:v>Server cost / MAU</x:v>
      </x:c>
      <x:c r="B27" s="1358" t="n">
        <x:f>INDEX(Assumptions!$P$6:$P$9,MATCH($B$6,Assumptions!$A$6:$A$9,0))</x:f>
        <x:v>0.015</x:v>
      </x:c>
      <x:c r="C27" s="1259" t="str"/>
      <x:c r="D27" s="621" t="n">
        <x:f>IF($B$7="Manual Overrides",IF(C27="",B27,C27),B27)</x:f>
        <x:v>0.015</x:v>
      </x:c>
      <x:c r="E27" s="1039" t="str">
        <x:v>$ / MAU / month</x:v>
      </x:c>
      <x:c r="F27" s="1361" t="str">
        <x:v>MONETIZATION.md</x:v>
      </x:c>
      <x:c r="G27" s="316"/>
      <x:c r="H27" s="316"/>
      <x:c r="I27" s="316"/>
      <x:c r="J27" s="316"/>
    </x:row>
    <x:row r="28" ht="18" customHeight="1">
      <x:c r="A28" s="270" t="str">
        <x:v>Fixed ops / tools</x:v>
      </x:c>
      <x:c r="B28" s="1357" t="n">
        <x:f>INDEX(Assumptions!$Q$6:$Q$9,MATCH($B$6,Assumptions!$A$6:$A$9,0))</x:f>
        <x:v>6000</x:v>
      </x:c>
      <x:c r="C28" s="1258" t="str"/>
      <x:c r="D28" s="620" t="n">
        <x:f>IF($B$7="Manual Overrides",IF(C28="",B28,C28),B28)</x:f>
        <x:v>6000</x:v>
      </x:c>
      <x:c r="E28" s="1039" t="str">
        <x:v>$ / month</x:v>
      </x:c>
      <x:c r="F28" s="1361" t="str">
        <x:v>assumption</x:v>
      </x:c>
      <x:c r="G28" s="316"/>
      <x:c r="H28" s="316"/>
      <x:c r="I28" s="316"/>
      <x:c r="J28" s="316"/>
    </x:row>
    <x:row r="29" ht="18" customHeight="1">
      <x:c r="A29" s="270" t="str">
        <x:v>UGC / creator budget</x:v>
      </x:c>
      <x:c r="B29" s="1357" t="n">
        <x:f>INDEX(Assumptions!$R$6:$R$9,MATCH($B$6,Assumptions!$A$6:$A$9,0))</x:f>
        <x:v>10000</x:v>
      </x:c>
      <x:c r="C29" s="1258" t="str"/>
      <x:c r="D29" s="620" t="n">
        <x:f>IF($B$7="Manual Overrides",IF(C29="",B29,C29),B29)</x:f>
        <x:v>10000</x:v>
      </x:c>
      <x:c r="E29" s="1039" t="str">
        <x:v>$ / month</x:v>
      </x:c>
      <x:c r="F29" s="1361" t="str">
        <x:v>90-day-cultural-breakout-plan.md</x:v>
      </x:c>
      <x:c r="G29" s="316"/>
      <x:c r="H29" s="316"/>
      <x:c r="I29" s="316"/>
      <x:c r="J29" s="316"/>
    </x:row>
    <x:row r="30" ht="18" customHeight="1">
      <x:c r="A30" s="270" t="str">
        <x:v>Legal / admin</x:v>
      </x:c>
      <x:c r="B30" s="1357" t="n">
        <x:f>INDEX(Assumptions!$S$6:$S$9,MATCH($B$6,Assumptions!$A$6:$A$9,0))</x:f>
        <x:v>5000</x:v>
      </x:c>
      <x:c r="C30" s="1258" t="str"/>
      <x:c r="D30" s="620" t="n">
        <x:f>IF($B$7="Manual Overrides",IF(C30="",B30,C30),B30)</x:f>
        <x:v>5000</x:v>
      </x:c>
      <x:c r="E30" s="1039" t="str">
        <x:v>$ / month</x:v>
      </x:c>
      <x:c r="F30" s="1361" t="str">
        <x:v>assumption</x:v>
      </x:c>
      <x:c r="G30" s="316"/>
      <x:c r="H30" s="316"/>
      <x:c r="I30" s="316"/>
      <x:c r="J30" s="316"/>
    </x:row>
    <x:row r="31" ht="18" customHeight="1">
      <x:c r="A31" s="270" t="str">
        <x:v>Founder payroll / draw</x:v>
      </x:c>
      <x:c r="B31" s="1357" t="n">
        <x:f>INDEX(Assumptions!$T$6:$T$9,MATCH($B$6,Assumptions!$A$6:$A$9,0))</x:f>
        <x:v>0</x:v>
      </x:c>
      <x:c r="C31" s="1258" t="str"/>
      <x:c r="D31" s="620" t="n">
        <x:f>IF($B$7="Manual Overrides",IF(C31="",B31,C31),B31)</x:f>
        <x:v>0</x:v>
      </x:c>
      <x:c r="E31" s="1039" t="str">
        <x:v>$ / month</x:v>
      </x:c>
      <x:c r="F31" s="1361" t="str">
        <x:v>user assumption: no employees</x:v>
      </x:c>
      <x:c r="G31" s="316"/>
      <x:c r="H31" s="316"/>
      <x:c r="I31" s="316"/>
      <x:c r="J31" s="316"/>
    </x:row>
    <x:row r="32" ht="18" customHeight="1">
      <x:c r="A32" s="270" t="str">
        <x:v>Pro conversion</x:v>
      </x:c>
      <x:c r="B32" s="1354" t="n">
        <x:f>INDEX(Assumptions!$U$6:$U$9,MATCH($B$6,Assumptions!$A$6:$A$9,0))</x:f>
        <x:v>0.025</x:v>
      </x:c>
      <x:c r="C32" s="1255" t="str"/>
      <x:c r="D32" s="617" t="n">
        <x:f>IF($B$7="Manual Overrides",IF(C32="",B32,C32),B32)</x:f>
        <x:v>0.025</x:v>
      </x:c>
      <x:c r="E32" s="1039" t="str">
        <x:v>% of MAU</x:v>
      </x:c>
      <x:c r="F32" s="1361" t="str">
        <x:v>MONETIZATION.md</x:v>
      </x:c>
      <x:c r="G32" s="316"/>
      <x:c r="H32" s="316"/>
      <x:c r="I32" s="316"/>
      <x:c r="J32" s="316"/>
    </x:row>
    <x:row r="33" ht="18" customHeight="1">
      <x:c r="A33" s="270" t="str">
        <x:v>Pro monthly price</x:v>
      </x:c>
      <x:c r="B33" s="1356" t="n">
        <x:f>INDEX(Assumptions!$V$6:$V$9,MATCH($B$6,Assumptions!$A$6:$A$9,0))</x:f>
        <x:v>4.99</x:v>
      </x:c>
      <x:c r="C33" s="1257" t="str"/>
      <x:c r="D33" s="619" t="n">
        <x:f>IF($B$7="Manual Overrides",IF(C33="",B33,C33),B33)</x:f>
        <x:v>4.99</x:v>
      </x:c>
      <x:c r="E33" s="1039" t="str">
        <x:v>$ / paying user</x:v>
      </x:c>
      <x:c r="F33" s="1361" t="str">
        <x:v>MONETIZATION.md</x:v>
      </x:c>
      <x:c r="G33" s="316"/>
      <x:c r="H33" s="316"/>
      <x:c r="I33" s="316"/>
      <x:c r="J33" s="316"/>
    </x:row>
    <x:row r="34" ht="18" customHeight="1">
      <x:c r="A34" s="270" t="str">
        <x:v>Consumable attach rate</x:v>
      </x:c>
      <x:c r="B34" s="1354" t="n">
        <x:f>INDEX(Assumptions!$W$6:$W$9,MATCH($B$6,Assumptions!$A$6:$A$9,0))</x:f>
        <x:v>0.01</x:v>
      </x:c>
      <x:c r="C34" s="1255" t="str"/>
      <x:c r="D34" s="617" t="n">
        <x:f>IF($B$7="Manual Overrides",IF(C34="",B34,C34),B34)</x:f>
        <x:v>0.01</x:v>
      </x:c>
      <x:c r="E34" s="1039" t="str">
        <x:v>% of MAU</x:v>
      </x:c>
      <x:c r="F34" s="1361" t="str">
        <x:v>MONETIZATION.md</x:v>
      </x:c>
      <x:c r="G34" s="316"/>
      <x:c r="H34" s="316"/>
      <x:c r="I34" s="316"/>
      <x:c r="J34" s="316"/>
    </x:row>
    <x:row r="35" ht="18" customHeight="1">
      <x:c r="A35" s="270" t="str">
        <x:v>Consumable ARPPU</x:v>
      </x:c>
      <x:c r="B35" s="1356" t="n">
        <x:f>INDEX(Assumptions!$X$6:$X$9,MATCH($B$6,Assumptions!$A$6:$A$9,0))</x:f>
        <x:v>1.99</x:v>
      </x:c>
      <x:c r="C35" s="1257" t="str"/>
      <x:c r="D35" s="619" t="n">
        <x:f>IF($B$7="Manual Overrides",IF(C35="",B35,C35),B35)</x:f>
        <x:v>1.99</x:v>
      </x:c>
      <x:c r="E35" s="1039" t="str">
        <x:v>$ / attached user</x:v>
      </x:c>
      <x:c r="F35" s="1361" t="str">
        <x:v>MONETIZATION.md</x:v>
      </x:c>
      <x:c r="G35" s="316"/>
      <x:c r="H35" s="316"/>
      <x:c r="I35" s="316"/>
      <x:c r="J35" s="316"/>
    </x:row>
    <x:row r="36" ht="18" customHeight="1">
      <x:c r="A36" s="273" t="str">
        <x:v>Monthly MAU growth</x:v>
      </x:c>
      <x:c r="B36" s="1359" t="n">
        <x:f>INDEX(Assumptions!$AB$6:$AB$9,MATCH($B$6,Assumptions!$A$6:$A$9,0))</x:f>
        <x:v>0.08</x:v>
      </x:c>
      <x:c r="C36" s="1260" t="str"/>
      <x:c r="D36" s="734" t="n">
        <x:f>IF($B$7="Manual Overrides",IF(C36="",B36,C36),B36)</x:f>
        <x:v>0.08</x:v>
      </x:c>
      <x:c r="E36" s="1041" t="str">
        <x:v>% / month</x:v>
      </x:c>
      <x:c r="F36" s="1362" t="str">
        <x:v>scenario assumption</x:v>
      </x:c>
      <x:c r="G36" s="316"/>
      <x:c r="H36" s="316"/>
      <x:c r="I36" s="316"/>
      <x:c r="J36" s="316"/>
    </x:row>
    <x:row r="37">
      <x:c r="A37" s="316"/>
      <x:c r="B37" s="316"/>
      <x:c r="C37" s="316"/>
      <x:c r="D37" s="316"/>
      <x:c r="E37" s="316"/>
      <x:c r="F37" s="316"/>
      <x:c r="G37" s="316"/>
      <x:c r="H37" s="316"/>
      <x:c r="I37" s="316"/>
      <x:c r="J37" s="316"/>
    </x:row>
    <x:row r="38">
      <x:c r="A38" s="1315" t="str">
        <x:v>Revenue And Margin Summary</x:v>
      </x:c>
      <x:c r="B38" s="1315"/>
      <x:c r="C38" s="1315"/>
      <x:c r="D38" s="1315"/>
      <x:c r="E38" s="1315"/>
      <x:c r="F38" s="316"/>
      <x:c r="G38" s="316"/>
      <x:c r="H38" s="316"/>
      <x:c r="I38" s="316"/>
      <x:c r="J38" s="316"/>
    </x:row>
    <x:row r="39">
      <x:c r="A39" s="318" t="str">
        <x:v>Metric</x:v>
      </x:c>
      <x:c r="B39" s="319" t="str">
        <x:v>Monthly</x:v>
      </x:c>
      <x:c r="C39" s="319" t="str">
        <x:v>Annualized</x:v>
      </x:c>
      <x:c r="D39" s="320" t="str">
        <x:v>Notes</x:v>
      </x:c>
      <x:c r="E39" s="316"/>
      <x:c r="F39" s="316"/>
      <x:c r="G39" s="316"/>
      <x:c r="H39" s="316"/>
      <x:c r="I39" s="316"/>
      <x:c r="J39" s="316"/>
    </x:row>
    <x:row r="40" ht="22.5" customHeight="1">
      <x:c r="A40" s="267" t="str">
        <x:v>Challenge entrants</x:v>
      </x:c>
      <x:c r="B40" s="737" t="n">
        <x:f>D13*D14</x:f>
        <x:v>100000</x:v>
      </x:c>
      <x:c r="C40" s="738" t="n">
        <x:f>B40*12</x:f>
        <x:v>1200000</x:v>
      </x:c>
      <x:c r="D40" s="1034" t="str">
        <x:v>Global MAU x sponsored entrant rate</x:v>
      </x:c>
      <x:c r="E40" s="316"/>
      <x:c r="F40" s="316"/>
      <x:c r="G40" s="316"/>
      <x:c r="H40" s="316"/>
      <x:c r="I40" s="316"/>
      <x:c r="J40" s="316"/>
    </x:row>
    <x:row r="41" ht="22.5" customHeight="1">
      <x:c r="A41" s="270" t="str">
        <x:v>Participant-days</x:v>
      </x:c>
      <x:c r="B41" s="739" t="n">
        <x:f>B40*D16*D17</x:f>
        <x:v>1950000</x:v>
      </x:c>
      <x:c r="C41" s="740" t="n">
        <x:f>B41*12</x:f>
        <x:v>23400000</x:v>
      </x:c>
      <x:c r="D41" s="1035" t="str">
        <x:v>Entrants x daily engagement x challenge days</x:v>
      </x:c>
      <x:c r="E41" s="316"/>
      <x:c r="F41" s="316"/>
      <x:c r="G41" s="316"/>
      <x:c r="H41" s="316"/>
      <x:c r="I41" s="316"/>
      <x:c r="J41" s="316"/>
    </x:row>
    <x:row r="42" ht="22.5" customHeight="1">
      <x:c r="A42" s="270" t="str">
        <x:v>Gross commitment fees</x:v>
      </x:c>
      <x:c r="B42" s="741" t="n">
        <x:f>B40*D18</x:f>
        <x:v>500000</x:v>
      </x:c>
      <x:c r="C42" s="742" t="n">
        <x:f>B42*12</x:f>
        <x:v>6000000</x:v>
      </x:c>
      <x:c r="D42" s="1035" t="str">
        <x:v>Entrants x user fee</x:v>
      </x:c>
      <x:c r="E42" s="316"/>
      <x:c r="F42" s="316"/>
      <x:c r="G42" s="316"/>
      <x:c r="H42" s="316"/>
      <x:c r="I42" s="316"/>
      <x:c r="J42" s="316"/>
    </x:row>
    <x:row r="43" ht="22.5" customHeight="1">
      <x:c r="A43" s="270" t="str">
        <x:v>Sponsor revenue</x:v>
      </x:c>
      <x:c r="B43" s="741" t="n">
        <x:f>IF($B$8="Participant-Day",B41*D21*(1+D22),D23*D24)</x:f>
        <x:v>351000</x:v>
      </x:c>
      <x:c r="C43" s="742" t="n">
        <x:f>B43*12</x:f>
        <x:v>4212000</x:v>
      </x:c>
      <x:c r="D43" s="1035" t="str">
        <x:v>Selected method: participant-days or package blocks</x:v>
      </x:c>
      <x:c r="E43" s="316"/>
      <x:c r="F43" s="316"/>
      <x:c r="G43" s="316"/>
      <x:c r="H43" s="316"/>
      <x:c r="I43" s="316"/>
      <x:c r="J43" s="316"/>
    </x:row>
    <x:row r="44" ht="22.5" customHeight="1">
      <x:c r="A44" s="270" t="str">
        <x:v>Pro subscription gross</x:v>
      </x:c>
      <x:c r="B44" s="741" t="n">
        <x:f>D13*D32*D33</x:f>
        <x:v>124750</x:v>
      </x:c>
      <x:c r="C44" s="742" t="n">
        <x:f>B44*12</x:f>
        <x:v>1497000</x:v>
      </x:c>
      <x:c r="D44" s="1035" t="str">
        <x:v>MAU x Pro conversion x Pro price</x:v>
      </x:c>
      <x:c r="E44" s="316"/>
      <x:c r="F44" s="316"/>
      <x:c r="G44" s="316"/>
      <x:c r="H44" s="316"/>
      <x:c r="I44" s="316"/>
      <x:c r="J44" s="316"/>
    </x:row>
    <x:row r="45" ht="22.5" customHeight="1">
      <x:c r="A45" s="270" t="str">
        <x:v>Consumable gross</x:v>
      </x:c>
      <x:c r="B45" s="741" t="n">
        <x:f>D13*D34*D35</x:f>
        <x:v>19900</x:v>
      </x:c>
      <x:c r="C45" s="742" t="n">
        <x:f>B45*12</x:f>
        <x:v>238800</x:v>
      </x:c>
      <x:c r="D45" s="1035" t="str">
        <x:v>MAU x consumable attach x ARPPU</x:v>
      </x:c>
      <x:c r="E45" s="316"/>
      <x:c r="F45" s="316"/>
      <x:c r="G45" s="316"/>
      <x:c r="H45" s="316"/>
      <x:c r="I45" s="316"/>
      <x:c r="J45" s="316"/>
    </x:row>
    <x:row r="46" ht="22.5" customHeight="1">
      <x:c r="A46" s="270" t="str">
        <x:v>Total gross revenue</x:v>
      </x:c>
      <x:c r="B46" s="743" t="n">
        <x:f>SUM(B42:B45)</x:f>
        <x:v>995650</x:v>
      </x:c>
      <x:c r="C46" s="744" t="n">
        <x:f>B46*12</x:f>
        <x:v>11947800</x:v>
      </x:c>
      <x:c r="D46" s="1035" t="str">
        <x:v>Sum of revenue streams</x:v>
      </x:c>
      <x:c r="E46" s="316"/>
      <x:c r="F46" s="316"/>
      <x:c r="G46" s="316"/>
      <x:c r="H46" s="316"/>
      <x:c r="I46" s="316"/>
      <x:c r="J46" s="316"/>
    </x:row>
    <x:row r="47" ht="22.5" customHeight="1">
      <x:c r="A47" s="270" t="str">
        <x:v>Completion rebates</x:v>
      </x:c>
      <x:c r="B47" s="741" t="n">
        <x:f>B40*D15*D19</x:f>
        <x:v>180000</x:v>
      </x:c>
      <x:c r="C47" s="742" t="n">
        <x:f>B47*12</x:f>
        <x:v>2160000</x:v>
      </x:c>
      <x:c r="D47" s="1035" t="str">
        <x:v>Entrants x completion rate x rebate</x:v>
      </x:c>
      <x:c r="E47" s="316"/>
      <x:c r="F47" s="316"/>
      <x:c r="G47" s="316"/>
      <x:c r="H47" s="316"/>
      <x:c r="I47" s="316"/>
      <x:c r="J47" s="316"/>
    </x:row>
    <x:row r="48" ht="22.5" customHeight="1">
      <x:c r="A48" s="270" t="str">
        <x:v>Payment processing / support reserve</x:v>
      </x:c>
      <x:c r="B48" s="741" t="n">
        <x:f>B40*D20+B42*D25</x:f>
        <x:v>80000</x:v>
      </x:c>
      <x:c r="C48" s="742" t="n">
        <x:f>B48*12</x:f>
        <x:v>960000</x:v>
      </x:c>
      <x:c r="D48" s="1035" t="str">
        <x:v>Entrants reserve + fee rate x commitment gross</x:v>
      </x:c>
      <x:c r="E48" s="316"/>
      <x:c r="F48" s="316"/>
      <x:c r="G48" s="316"/>
      <x:c r="H48" s="316"/>
      <x:c r="I48" s="316"/>
      <x:c r="J48" s="316"/>
    </x:row>
    <x:row r="49" ht="22.5" customHeight="1">
      <x:c r="A49" s="270" t="str">
        <x:v>App Store / platform fees</x:v>
      </x:c>
      <x:c r="B49" s="741" t="n">
        <x:f>(B44+B45)*D26</x:f>
        <x:v>21697.5</x:v>
      </x:c>
      <x:c r="C49" s="742" t="n">
        <x:f>B49*12</x:f>
        <x:v>260370</x:v>
      </x:c>
      <x:c r="D49" s="1035" t="str">
        <x:v>Fee rate x Pro and consumable gross</x:v>
      </x:c>
      <x:c r="E49" s="316"/>
      <x:c r="F49" s="316"/>
      <x:c r="G49" s="316"/>
      <x:c r="H49" s="316"/>
      <x:c r="I49" s="316"/>
      <x:c r="J49" s="316"/>
    </x:row>
    <x:row r="50" ht="22.5" customHeight="1">
      <x:c r="A50" s="270" t="str">
        <x:v>Server / infra</x:v>
      </x:c>
      <x:c r="B50" s="741" t="n">
        <x:f>D13*D27</x:f>
        <x:v>15000</x:v>
      </x:c>
      <x:c r="C50" s="742" t="n">
        <x:f>B50*12</x:f>
        <x:v>180000</x:v>
      </x:c>
      <x:c r="D50" s="1035" t="str">
        <x:v>MAU x server cost</x:v>
      </x:c>
      <x:c r="E50" s="316"/>
      <x:c r="F50" s="316"/>
      <x:c r="G50" s="316"/>
      <x:c r="H50" s="316"/>
      <x:c r="I50" s="316"/>
      <x:c r="J50" s="316"/>
    </x:row>
    <x:row r="51" ht="22.5" customHeight="1">
      <x:c r="A51" s="270" t="str">
        <x:v>Fixed ops / tools</x:v>
      </x:c>
      <x:c r="B51" s="741" t="n">
        <x:f>D28</x:f>
        <x:v>6000</x:v>
      </x:c>
      <x:c r="C51" s="742" t="n">
        <x:f>B51*12</x:f>
        <x:v>72000</x:v>
      </x:c>
      <x:c r="D51" s="1035" t="str">
        <x:v>Editable fixed monthly tools and ops</x:v>
      </x:c>
      <x:c r="E51" s="316"/>
      <x:c r="F51" s="316"/>
      <x:c r="G51" s="316"/>
      <x:c r="H51" s="316"/>
      <x:c r="I51" s="316"/>
      <x:c r="J51" s="316"/>
    </x:row>
    <x:row r="52" ht="22.5" customHeight="1">
      <x:c r="A52" s="270" t="str">
        <x:v>UGC / creator budget</x:v>
      </x:c>
      <x:c r="B52" s="741" t="n">
        <x:f>D29</x:f>
        <x:v>10000</x:v>
      </x:c>
      <x:c r="C52" s="742" t="n">
        <x:f>B52*12</x:f>
        <x:v>120000</x:v>
      </x:c>
      <x:c r="D52" s="1035" t="str">
        <x:v>Creator seeding and content budget</x:v>
      </x:c>
      <x:c r="E52" s="316"/>
      <x:c r="F52" s="316"/>
      <x:c r="G52" s="316"/>
      <x:c r="H52" s="316"/>
      <x:c r="I52" s="316"/>
      <x:c r="J52" s="316"/>
    </x:row>
    <x:row r="53" ht="22.5" customHeight="1">
      <x:c r="A53" s="270" t="str">
        <x:v>Legal / admin</x:v>
      </x:c>
      <x:c r="B53" s="741" t="n">
        <x:f>D30</x:f>
        <x:v>5000</x:v>
      </x:c>
      <x:c r="C53" s="742" t="n">
        <x:f>B53*12</x:f>
        <x:v>60000</x:v>
      </x:c>
      <x:c r="D53" s="1035" t="str">
        <x:v>Accounting, contracts, legal review</x:v>
      </x:c>
      <x:c r="E53" s="316"/>
      <x:c r="F53" s="316"/>
      <x:c r="G53" s="316"/>
      <x:c r="H53" s="316"/>
      <x:c r="I53" s="316"/>
      <x:c r="J53" s="316"/>
    </x:row>
    <x:row r="54" ht="22.5" customHeight="1">
      <x:c r="A54" s="270" t="str">
        <x:v>Founder payroll / draw</x:v>
      </x:c>
      <x:c r="B54" s="741" t="n">
        <x:f>D31</x:f>
        <x:v>0</x:v>
      </x:c>
      <x:c r="C54" s="742" t="n">
        <x:f>B54*12</x:f>
        <x:v>0</x:v>
      </x:c>
      <x:c r="D54" s="1035" t="str">
        <x:v>Default 0 because there are no employees</x:v>
      </x:c>
      <x:c r="E54" s="316"/>
      <x:c r="F54" s="316"/>
      <x:c r="G54" s="316"/>
      <x:c r="H54" s="316"/>
      <x:c r="I54" s="316"/>
      <x:c r="J54" s="316"/>
    </x:row>
    <x:row r="55" ht="22.5" customHeight="1">
      <x:c r="A55" s="270" t="str">
        <x:v>Total operating costs</x:v>
      </x:c>
      <x:c r="B55" s="741" t="n">
        <x:f>SUM(B47:B54)</x:f>
        <x:v>317697.5</x:v>
      </x:c>
      <x:c r="C55" s="742" t="n">
        <x:f>B55*12</x:f>
        <x:v>3812370</x:v>
      </x:c>
      <x:c r="D55" s="1035" t="str">
        <x:v>Sum of costs above</x:v>
      </x:c>
      <x:c r="E55" s="316"/>
      <x:c r="F55" s="316"/>
      <x:c r="G55" s="316"/>
      <x:c r="H55" s="316"/>
      <x:c r="I55" s="316"/>
      <x:c r="J55" s="316"/>
    </x:row>
    <x:row r="56" ht="22.5" customHeight="1">
      <x:c r="A56" s="270" t="str">
        <x:v>Operating profit</x:v>
      </x:c>
      <x:c r="B56" s="745" t="n">
        <x:f>B46-B55</x:f>
        <x:v>677952.5</x:v>
      </x:c>
      <x:c r="C56" s="746" t="n">
        <x:f>B56*12</x:f>
        <x:v>8135430</x:v>
      </x:c>
      <x:c r="D56" s="1035" t="str">
        <x:v>Total gross revenue - total operating costs</x:v>
      </x:c>
      <x:c r="E56" s="316"/>
      <x:c r="F56" s="316"/>
      <x:c r="G56" s="316"/>
      <x:c r="H56" s="316"/>
      <x:c r="I56" s="316"/>
      <x:c r="J56" s="316"/>
    </x:row>
    <x:row r="57" ht="22.5" customHeight="1">
      <x:c r="A57" s="270" t="str">
        <x:v>Operating margin</x:v>
      </x:c>
      <x:c r="B57" s="747" t="n">
        <x:f>IFERROR(B56/B46,0)</x:f>
        <x:v>0.6809144779792096</x:v>
      </x:c>
      <x:c r="C57" s="748" t="n">
        <x:f>B57</x:f>
        <x:v>0.6809144779792096</x:v>
      </x:c>
      <x:c r="D57" s="1035" t="str">
        <x:v>Operating profit / total gross revenue</x:v>
      </x:c>
      <x:c r="E57" s="316"/>
      <x:c r="F57" s="316"/>
      <x:c r="G57" s="316"/>
      <x:c r="H57" s="316"/>
      <x:c r="I57" s="316"/>
      <x:c r="J57" s="316"/>
    </x:row>
    <x:row r="58" ht="22.5" customHeight="1">
      <x:c r="A58" s="270" t="str">
        <x:v>Sponsor revenue share</x:v>
      </x:c>
      <x:c r="B58" s="749" t="n">
        <x:f>IFERROR(B43/B46,0)</x:f>
        <x:v>0.3525335208155476</x:v>
      </x:c>
      <x:c r="C58" s="750" t="n">
        <x:f>B58</x:f>
        <x:v>0.3525335208155476</x:v>
      </x:c>
      <x:c r="D58" s="1035" t="str">
        <x:v>Sponsor revenue / total gross revenue</x:v>
      </x:c>
      <x:c r="E58" s="316"/>
      <x:c r="F58" s="316"/>
      <x:c r="G58" s="316"/>
      <x:c r="H58" s="316"/>
      <x:c r="I58" s="316"/>
      <x:c r="J58" s="316"/>
    </x:row>
    <x:row r="59" ht="22.5" customHeight="1">
      <x:c r="A59" s="270" t="str">
        <x:v>Commitment margin after rebates/payment</x:v>
      </x:c>
      <x:c r="B59" s="741" t="n">
        <x:f>B42-B47-B48</x:f>
        <x:v>240000</x:v>
      </x:c>
      <x:c r="C59" s="742" t="n">
        <x:f>B59*12</x:f>
        <x:v>2880000</x:v>
      </x:c>
      <x:c r="D59" s="1035" t="str">
        <x:v>Commitment gross - rebates - payment reserve</x:v>
      </x:c>
      <x:c r="E59" s="316"/>
      <x:c r="F59" s="316"/>
      <x:c r="G59" s="316"/>
      <x:c r="H59" s="316"/>
      <x:c r="I59" s="316"/>
      <x:c r="J59" s="316"/>
    </x:row>
    <x:row r="60" ht="22.5" customHeight="1">
      <x:c r="A60" s="273" t="str">
        <x:v>Break-even sponsor revenue needed</x:v>
      </x:c>
      <x:c r="B60" s="751" t="n">
        <x:f>MAX(0,B55-B42-B44-B45)</x:f>
        <x:v>0</x:v>
      </x:c>
      <x:c r="C60" s="752" t="n">
        <x:f>B60*12</x:f>
        <x:v>0</x:v>
      </x:c>
      <x:c r="D60" s="1036" t="str">
        <x:v>Sponsor revenue needed to cover costs after non-sponsor revenue</x:v>
      </x:c>
      <x:c r="E60" s="316"/>
      <x:c r="F60" s="316"/>
      <x:c r="G60" s="316"/>
      <x:c r="H60" s="316"/>
      <x:c r="I60" s="316"/>
      <x:c r="J60" s="316"/>
    </x:row>
    <x:row r="61">
      <x:c r="A61" s="316"/>
      <x:c r="B61" s="316"/>
      <x:c r="C61" s="316"/>
      <x:c r="D61" s="316"/>
      <x:c r="E61" s="316"/>
      <x:c r="F61" s="316"/>
      <x:c r="G61" s="316"/>
      <x:c r="H61" s="316"/>
      <x:c r="I61" s="316"/>
      <x:c r="J61" s="316"/>
    </x:row>
    <x:row r="62">
      <x:c r="A62" s="316"/>
      <x:c r="B62" s="316"/>
      <x:c r="C62" s="316"/>
      <x:c r="D62" s="316"/>
      <x:c r="E62" s="316"/>
      <x:c r="F62" s="316"/>
      <x:c r="G62" s="316"/>
      <x:c r="H62" s="316"/>
      <x:c r="I62" s="316"/>
      <x:c r="J62" s="316"/>
    </x:row>
    <x:row r="63">
      <x:c r="A63" s="1315" t="str">
        <x:v>Scenario Comparison</x:v>
      </x:c>
      <x:c r="B63" s="1315"/>
      <x:c r="C63" s="1315"/>
      <x:c r="D63" s="1315"/>
      <x:c r="E63" s="1315"/>
      <x:c r="F63" s="1315"/>
      <x:c r="G63" s="1315"/>
      <x:c r="H63" s="1315"/>
      <x:c r="I63" s="316"/>
      <x:c r="J63" s="316"/>
    </x:row>
    <x:row r="64" ht="25.5" customHeight="1">
      <x:c r="A64" s="318" t="str">
        <x:v>Scenario</x:v>
      </x:c>
      <x:c r="B64" s="319" t="str">
        <x:v>MAU</x:v>
      </x:c>
      <x:c r="C64" s="319" t="str">
        <x:v>Entrants</x:v>
      </x:c>
      <x:c r="D64" s="319" t="str">
        <x:v>Participant-Days</x:v>
      </x:c>
      <x:c r="E64" s="319" t="str">
        <x:v>Sponsor Revenue</x:v>
      </x:c>
      <x:c r="F64" s="319" t="str">
        <x:v>Total Revenue</x:v>
      </x:c>
      <x:c r="G64" s="319" t="str">
        <x:v>Operating Profit</x:v>
      </x:c>
      <x:c r="H64" s="320" t="str">
        <x:v>Margin</x:v>
      </x:c>
      <x:c r="I64" s="316"/>
      <x:c r="J64" s="316"/>
    </x:row>
    <x:row r="65" ht="18" customHeight="1">
      <x:c r="A65" s="267" t="str">
        <x:v>Bear</x:v>
      </x:c>
      <x:c r="B65" s="649" t="n">
        <x:f>INDEX(Assumptions!$B$6:$B$9,MATCH($A65,Assumptions!$A$6:$A$9,0))</x:f>
        <x:v>100000</x:v>
      </x:c>
      <x:c r="C65" s="649" t="n">
        <x:f>B65*INDEX(Assumptions!$C$6:$C$9,MATCH($A65,Assumptions!$A$6:$A$9,0))</x:f>
        <x:v>5000</x:v>
      </x:c>
      <x:c r="D65" s="649" t="n">
        <x:f>C65*INDEX(Assumptions!$E$6:$E$9,MATCH($A65,Assumptions!$A$6:$A$9,0))*INDEX(Assumptions!$F$6:$F$9,MATCH($A65,Assumptions!$A$6:$A$9,0))</x:f>
        <x:v>75000</x:v>
      </x:c>
      <x:c r="E65" s="656" t="n">
        <x:f>IF($B$8="Participant-Day",D65*INDEX(Assumptions!$J$6:$J$9,MATCH($A65,Assumptions!$A$6:$A$9,0))*(1+INDEX(Assumptions!$K$6:$K$9,MATCH($A65,Assumptions!$A$6:$A$9,0))),INDEX(Assumptions!$L$6:$L$9,MATCH($A65,Assumptions!$A$6:$A$9,0))*INDEX(Assumptions!$M$6:$M$9,MATCH($A65,Assumptions!$A$6:$A$9,0)))</x:f>
        <x:v>5625</x:v>
      </x:c>
      <x:c r="F65" s="656" t="n">
        <x:f>(C65*INDEX(Assumptions!$G$6:$G$9,MATCH($A65,Assumptions!$A$6:$A$9,0)))+E65+(B65*INDEX(Assumptions!$U$6:$U$9,MATCH($A65,Assumptions!$A$6:$A$9,0))*INDEX(Assumptions!$V$6:$V$9,MATCH($A65,Assumptions!$A$6:$A$9,0)))+(B65*INDEX(Assumptions!$W$6:$W$9,MATCH($A65,Assumptions!$A$6:$A$9,0))*INDEX(Assumptions!$X$6:$X$9,MATCH($A65,Assumptions!$A$6:$A$9,0)))</x:f>
        <x:v>38855</x:v>
      </x:c>
      <x:c r="G65" s="656" t="n">
        <x:f>F65-((C65*INDEX(Assumptions!$D$6:$D$9,MATCH($A65,Assumptions!$A$6:$A$9,0))*INDEX(Assumptions!$H$6:$H$9,MATCH($A65,Assumptions!$A$6:$A$9,0)))+(C65*INDEX(Assumptions!$I$6:$I$9,MATCH($A65,Assumptions!$A$6:$A$9,0))+(C65*INDEX(Assumptions!$G$6:$G$9,MATCH($A65,Assumptions!$A$6:$A$9,0))*INDEX(Assumptions!$N$6:$N$9,MATCH($A65,Assumptions!$A$6:$A$9,0))))+((B65*INDEX(Assumptions!$U$6:$U$9,MATCH($A65,Assumptions!$A$6:$A$9,0))*INDEX(Assumptions!$V$6:$V$9,MATCH($A65,Assumptions!$A$6:$A$9,0))+B65*INDEX(Assumptions!$W$6:$W$9,MATCH($A65,Assumptions!$A$6:$A$9,0))*INDEX(Assumptions!$X$6:$X$9,MATCH($A65,Assumptions!$A$6:$A$9,0)))*INDEX(Assumptions!$O$6:$O$9,MATCH($A65,Assumptions!$A$6:$A$9,0)))+(B65*INDEX(Assumptions!$P$6:$P$9,MATCH($A65,Assumptions!$A$6:$A$9,0)))+INDEX(Assumptions!$Q$6:$Q$9,MATCH($A65,Assumptions!$A$6:$A$9,0))+INDEX(Assumptions!$R$6:$R$9,MATCH($A65,Assumptions!$A$6:$A$9,0))+INDEX(Assumptions!$S$6:$S$9,MATCH($A65,Assumptions!$A$6:$A$9,0))+INDEX(Assumptions!$T$6:$T$9,MATCH($A65,Assumptions!$A$6:$A$9,0)))</x:f>
        <x:v>18870.5</x:v>
      </x:c>
      <x:c r="H65" s="657" t="n">
        <x:f>IFERROR(G65/F65,0)</x:f>
        <x:v>0.4856646506241153</x:v>
      </x:c>
      <x:c r="I65" s="316"/>
      <x:c r="J65" s="316"/>
    </x:row>
    <x:row r="66" ht="18" customHeight="1">
      <x:c r="A66" s="270" t="str">
        <x:v>Average</x:v>
      </x:c>
      <x:c r="B66" s="658" t="n">
        <x:f>INDEX(Assumptions!$B$6:$B$9,MATCH($A66,Assumptions!$A$6:$A$9,0))</x:f>
        <x:v>1000000</x:v>
      </x:c>
      <x:c r="C66" s="658" t="n">
        <x:f>B66*INDEX(Assumptions!$C$6:$C$9,MATCH($A66,Assumptions!$A$6:$A$9,0))</x:f>
        <x:v>100000</x:v>
      </x:c>
      <x:c r="D66" s="658" t="n">
        <x:f>C66*INDEX(Assumptions!$E$6:$E$9,MATCH($A66,Assumptions!$A$6:$A$9,0))*INDEX(Assumptions!$F$6:$F$9,MATCH($A66,Assumptions!$A$6:$A$9,0))</x:f>
        <x:v>1950000</x:v>
      </x:c>
      <x:c r="E66" s="659" t="n">
        <x:f>IF($B$8="Participant-Day",D66*INDEX(Assumptions!$J$6:$J$9,MATCH($A66,Assumptions!$A$6:$A$9,0))*(1+INDEX(Assumptions!$K$6:$K$9,MATCH($A66,Assumptions!$A$6:$A$9,0))),INDEX(Assumptions!$L$6:$L$9,MATCH($A66,Assumptions!$A$6:$A$9,0))*INDEX(Assumptions!$M$6:$M$9,MATCH($A66,Assumptions!$A$6:$A$9,0)))</x:f>
        <x:v>351000</x:v>
      </x:c>
      <x:c r="F66" s="659" t="n">
        <x:f>(C66*INDEX(Assumptions!$G$6:$G$9,MATCH($A66,Assumptions!$A$6:$A$9,0)))+E66+(B66*INDEX(Assumptions!$U$6:$U$9,MATCH($A66,Assumptions!$A$6:$A$9,0))*INDEX(Assumptions!$V$6:$V$9,MATCH($A66,Assumptions!$A$6:$A$9,0)))+(B66*INDEX(Assumptions!$W$6:$W$9,MATCH($A66,Assumptions!$A$6:$A$9,0))*INDEX(Assumptions!$X$6:$X$9,MATCH($A66,Assumptions!$A$6:$A$9,0)))</x:f>
        <x:v>995650</x:v>
      </x:c>
      <x:c r="G66" s="659" t="n">
        <x:f>F66-((C66*INDEX(Assumptions!$D$6:$D$9,MATCH($A66,Assumptions!$A$6:$A$9,0))*INDEX(Assumptions!$H$6:$H$9,MATCH($A66,Assumptions!$A$6:$A$9,0)))+(C66*INDEX(Assumptions!$I$6:$I$9,MATCH($A66,Assumptions!$A$6:$A$9,0))+(C66*INDEX(Assumptions!$G$6:$G$9,MATCH($A66,Assumptions!$A$6:$A$9,0))*INDEX(Assumptions!$N$6:$N$9,MATCH($A66,Assumptions!$A$6:$A$9,0))))+((B66*INDEX(Assumptions!$U$6:$U$9,MATCH($A66,Assumptions!$A$6:$A$9,0))*INDEX(Assumptions!$V$6:$V$9,MATCH($A66,Assumptions!$A$6:$A$9,0))+B66*INDEX(Assumptions!$W$6:$W$9,MATCH($A66,Assumptions!$A$6:$A$9,0))*INDEX(Assumptions!$X$6:$X$9,MATCH($A66,Assumptions!$A$6:$A$9,0)))*INDEX(Assumptions!$O$6:$O$9,MATCH($A66,Assumptions!$A$6:$A$9,0)))+(B66*INDEX(Assumptions!$P$6:$P$9,MATCH($A66,Assumptions!$A$6:$A$9,0)))+INDEX(Assumptions!$Q$6:$Q$9,MATCH($A66,Assumptions!$A$6:$A$9,0))+INDEX(Assumptions!$R$6:$R$9,MATCH($A66,Assumptions!$A$6:$A$9,0))+INDEX(Assumptions!$S$6:$S$9,MATCH($A66,Assumptions!$A$6:$A$9,0))+INDEX(Assumptions!$T$6:$T$9,MATCH($A66,Assumptions!$A$6:$A$9,0)))</x:f>
        <x:v>677952.5</x:v>
      </x:c>
      <x:c r="H66" s="660" t="n">
        <x:f>IFERROR(G66/F66,0)</x:f>
        <x:v>0.6809144779792096</x:v>
      </x:c>
      <x:c r="I66" s="316"/>
      <x:c r="J66" s="316"/>
    </x:row>
    <x:row r="67" ht="18" customHeight="1">
      <x:c r="A67" s="270" t="str">
        <x:v>Bull</x:v>
      </x:c>
      <x:c r="B67" s="658" t="n">
        <x:f>INDEX(Assumptions!$B$6:$B$9,MATCH($A67,Assumptions!$A$6:$A$9,0))</x:f>
        <x:v>2000000</x:v>
      </x:c>
      <x:c r="C67" s="658" t="n">
        <x:f>B67*INDEX(Assumptions!$C$6:$C$9,MATCH($A67,Assumptions!$A$6:$A$9,0))</x:f>
        <x:v>300000</x:v>
      </x:c>
      <x:c r="D67" s="658" t="n">
        <x:f>C67*INDEX(Assumptions!$E$6:$E$9,MATCH($A67,Assumptions!$A$6:$A$9,0))*INDEX(Assumptions!$F$6:$F$9,MATCH($A67,Assumptions!$A$6:$A$9,0))</x:f>
        <x:v>6300000</x:v>
      </x:c>
      <x:c r="E67" s="659" t="n">
        <x:f>IF($B$8="Participant-Day",D67*INDEX(Assumptions!$J$6:$J$9,MATCH($A67,Assumptions!$A$6:$A$9,0))*(1+INDEX(Assumptions!$K$6:$K$9,MATCH($A67,Assumptions!$A$6:$A$9,0))),INDEX(Assumptions!$L$6:$L$9,MATCH($A67,Assumptions!$A$6:$A$9,0))*INDEX(Assumptions!$M$6:$M$9,MATCH($A67,Assumptions!$A$6:$A$9,0)))</x:f>
        <x:v>1984500</x:v>
      </x:c>
      <x:c r="F67" s="659" t="n">
        <x:f>(C67*INDEX(Assumptions!$G$6:$G$9,MATCH($A67,Assumptions!$A$6:$A$9,0)))+E67+(B67*INDEX(Assumptions!$U$6:$U$9,MATCH($A67,Assumptions!$A$6:$A$9,0))*INDEX(Assumptions!$V$6:$V$9,MATCH($A67,Assumptions!$A$6:$A$9,0)))+(B67*INDEX(Assumptions!$W$6:$W$9,MATCH($A67,Assumptions!$A$6:$A$9,0))*INDEX(Assumptions!$X$6:$X$9,MATCH($A67,Assumptions!$A$6:$A$9,0)))</x:f>
        <x:v>3933400</x:v>
      </x:c>
      <x:c r="G67" s="659" t="n">
        <x:f>F67-((C67*INDEX(Assumptions!$D$6:$D$9,MATCH($A67,Assumptions!$A$6:$A$9,0))*INDEX(Assumptions!$H$6:$H$9,MATCH($A67,Assumptions!$A$6:$A$9,0)))+(C67*INDEX(Assumptions!$I$6:$I$9,MATCH($A67,Assumptions!$A$6:$A$9,0))+(C67*INDEX(Assumptions!$G$6:$G$9,MATCH($A67,Assumptions!$A$6:$A$9,0))*INDEX(Assumptions!$N$6:$N$9,MATCH($A67,Assumptions!$A$6:$A$9,0))))+((B67*INDEX(Assumptions!$U$6:$U$9,MATCH($A67,Assumptions!$A$6:$A$9,0))*INDEX(Assumptions!$V$6:$V$9,MATCH($A67,Assumptions!$A$6:$A$9,0))+B67*INDEX(Assumptions!$W$6:$W$9,MATCH($A67,Assumptions!$A$6:$A$9,0))*INDEX(Assumptions!$X$6:$X$9,MATCH($A67,Assumptions!$A$6:$A$9,0)))*INDEX(Assumptions!$O$6:$O$9,MATCH($A67,Assumptions!$A$6:$A$9,0)))+(B67*INDEX(Assumptions!$P$6:$P$9,MATCH($A67,Assumptions!$A$6:$A$9,0)))+INDEX(Assumptions!$Q$6:$Q$9,MATCH($A67,Assumptions!$A$6:$A$9,0))+INDEX(Assumptions!$R$6:$R$9,MATCH($A67,Assumptions!$A$6:$A$9,0))+INDEX(Assumptions!$S$6:$S$9,MATCH($A67,Assumptions!$A$6:$A$9,0))+INDEX(Assumptions!$T$6:$T$9,MATCH($A67,Assumptions!$A$6:$A$9,0)))</x:f>
        <x:v>2970065</x:v>
      </x:c>
      <x:c r="H67" s="660" t="n">
        <x:f>IFERROR(G67/F67,0)</x:f>
        <x:v>0.7550884730767276</x:v>
      </x:c>
      <x:c r="I67" s="316"/>
      <x:c r="J67" s="316"/>
    </x:row>
    <x:row r="68" ht="18" customHeight="1">
      <x:c r="A68" s="273" t="str">
        <x:v>Breakout</x:v>
      </x:c>
      <x:c r="B68" s="661" t="n">
        <x:f>INDEX(Assumptions!$B$6:$B$9,MATCH($A68,Assumptions!$A$6:$A$9,0))</x:f>
        <x:v>5000000</x:v>
      </x:c>
      <x:c r="C68" s="661" t="n">
        <x:f>B68*INDEX(Assumptions!$C$6:$C$9,MATCH($A68,Assumptions!$A$6:$A$9,0))</x:f>
        <x:v>1000000</x:v>
      </x:c>
      <x:c r="D68" s="661" t="n">
        <x:f>C68*INDEX(Assumptions!$E$6:$E$9,MATCH($A68,Assumptions!$A$6:$A$9,0))*INDEX(Assumptions!$F$6:$F$9,MATCH($A68,Assumptions!$A$6:$A$9,0))</x:f>
        <x:v>22500000</x:v>
      </x:c>
      <x:c r="E68" s="662" t="n">
        <x:f>IF($B$8="Participant-Day",D68*INDEX(Assumptions!$J$6:$J$9,MATCH($A68,Assumptions!$A$6:$A$9,0))*(1+INDEX(Assumptions!$K$6:$K$9,MATCH($A68,Assumptions!$A$6:$A$9,0))),INDEX(Assumptions!$L$6:$L$9,MATCH($A68,Assumptions!$A$6:$A$9,0))*INDEX(Assumptions!$M$6:$M$9,MATCH($A68,Assumptions!$A$6:$A$9,0)))</x:f>
        <x:v>11250000</x:v>
      </x:c>
      <x:c r="F68" s="662" t="n">
        <x:f>(C68*INDEX(Assumptions!$G$6:$G$9,MATCH($A68,Assumptions!$A$6:$A$9,0)))+E68+(B68*INDEX(Assumptions!$U$6:$U$9,MATCH($A68,Assumptions!$A$6:$A$9,0))*INDEX(Assumptions!$V$6:$V$9,MATCH($A68,Assumptions!$A$6:$A$9,0)))+(B68*INDEX(Assumptions!$W$6:$W$9,MATCH($A68,Assumptions!$A$6:$A$9,0))*INDEX(Assumptions!$X$6:$X$9,MATCH($A68,Assumptions!$A$6:$A$9,0)))</x:f>
        <x:v>17946000</x:v>
      </x:c>
      <x:c r="G68" s="662" t="n">
        <x:f>F68-((C68*INDEX(Assumptions!$D$6:$D$9,MATCH($A68,Assumptions!$A$6:$A$9,0))*INDEX(Assumptions!$H$6:$H$9,MATCH($A68,Assumptions!$A$6:$A$9,0)))+(C68*INDEX(Assumptions!$I$6:$I$9,MATCH($A68,Assumptions!$A$6:$A$9,0))+(C68*INDEX(Assumptions!$G$6:$G$9,MATCH($A68,Assumptions!$A$6:$A$9,0))*INDEX(Assumptions!$N$6:$N$9,MATCH($A68,Assumptions!$A$6:$A$9,0))))+((B68*INDEX(Assumptions!$U$6:$U$9,MATCH($A68,Assumptions!$A$6:$A$9,0))*INDEX(Assumptions!$V$6:$V$9,MATCH($A68,Assumptions!$A$6:$A$9,0))+B68*INDEX(Assumptions!$W$6:$W$9,MATCH($A68,Assumptions!$A$6:$A$9,0))*INDEX(Assumptions!$X$6:$X$9,MATCH($A68,Assumptions!$A$6:$A$9,0)))*INDEX(Assumptions!$O$6:$O$9,MATCH($A68,Assumptions!$A$6:$A$9,0)))+(B68*INDEX(Assumptions!$P$6:$P$9,MATCH($A68,Assumptions!$A$6:$A$9,0)))+INDEX(Assumptions!$Q$6:$Q$9,MATCH($A68,Assumptions!$A$6:$A$9,0))+INDEX(Assumptions!$R$6:$R$9,MATCH($A68,Assumptions!$A$6:$A$9,0))+INDEX(Assumptions!$S$6:$S$9,MATCH($A68,Assumptions!$A$6:$A$9,0))+INDEX(Assumptions!$T$6:$T$9,MATCH($A68,Assumptions!$A$6:$A$9,0)))</x:f>
        <x:v>14616600</x:v>
      </x:c>
      <x:c r="H68" s="663" t="n">
        <x:f>IFERROR(G68/F68,0)</x:f>
        <x:v>0.814476763624206</x:v>
      </x:c>
      <x:c r="I68" s="316"/>
      <x:c r="J68" s="316"/>
    </x:row>
  </x:sheetData>
  <x:mergeCells>
    <x:mergeCell ref="A1:L1"/>
    <x:mergeCell ref="A2:L2"/>
    <x:mergeCell ref="A4:F4"/>
    <x:mergeCell ref="A11:F11"/>
    <x:mergeCell ref="A38:E38"/>
    <x:mergeCell ref="A63:H63"/>
  </x:mergeCells>
  <x:dataValidations count="4">
    <x:dataValidation type="list" allowBlank="0" showDropDown="0" sqref="B6">
      <x:formula1>"Bear,Average,Bull,Breakout"</x:formula1>
    </x:dataValidation>
    <x:dataValidation type="list" allowBlank="0" showDropDown="0" sqref="B7">
      <x:formula1>"Scenario Defaults,Manual Overrides"</x:formula1>
    </x:dataValidation>
    <x:dataValidation type="list" allowBlank="0" showDropDown="0" sqref="B8">
      <x:formula1>"Participant-Day,Package Blocks"</x:formula1>
    </x:dataValidation>
    <x:dataValidation type="list" allowBlank="0" showDropDown="0" sqref="B9">
      <x:formula1>"Global,USA,Korea,Rest of World"</x:formula1>
    </x:dataValidation>
  </x:dataValidations>
  <x:pageMargins left="0.7" right="0.7" top="0.75" bottom="0.75" header="0.3" footer="0.3"/>
  <x:drawing xmlns:r="http://schemas.openxmlformats.org/officeDocument/2006/relationships" r:id="R804c7d5d230d483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710000038146973" hidden="0" customWidth="1"/>
    <x:col min="2" max="2" width="30.709999084472656" hidden="0" customWidth="1"/>
    <x:col min="3" max="3" width="43.56999969482422" hidden="0" customWidth="1"/>
    <x:col min="4" max="4" width="15" hidden="0" customWidth="1"/>
    <x:col min="5" max="5" width="15.710000038146973" hidden="0" customWidth="1"/>
    <x:col min="6" max="6" width="12.859999656677246" hidden="0" customWidth="1"/>
    <x:col min="7" max="7" width="10.710000038146973" hidden="0" customWidth="1"/>
    <x:col min="8" max="8" width="15" hidden="0" customWidth="1"/>
    <x:col min="9" max="9" width="19.290000915527344" hidden="0" customWidth="1"/>
    <x:col min="10" max="10" width="19.290000915527344" hidden="0" customWidth="1"/>
    <x:col min="11" max="11" width="16.43000030517578" hidden="0" customWidth="1"/>
    <x:col min="12" max="12" width="15" hidden="0" customWidth="1"/>
    <x:col min="13" max="13" width="20.709999084472656" hidden="0" customWidth="1"/>
    <x:col min="14" max="14" width="18.56999969482422" hidden="0" customWidth="1"/>
    <x:col min="15" max="15" width="15" hidden="0" customWidth="1"/>
    <x:col min="16" max="16" width="15" hidden="0" customWidth="1"/>
    <x:col min="17" max="17" width="15" hidden="0" customWidth="1"/>
    <x:col min="18" max="18" width="17.139999389648438" hidden="0" customWidth="1"/>
    <x:col min="19" max="19" width="14.289999961853027" hidden="0" customWidth="1"/>
    <x:col min="20" max="20" width="15" hidden="0" customWidth="1"/>
    <x:col min="21" max="21" width="15" hidden="0" customWidth="1"/>
    <x:col min="22" max="22" width="15" hidden="0" customWidth="1"/>
    <x:col min="23" max="23" width="17.139999389648438" hidden="0" customWidth="1"/>
    <x:col min="24" max="24" width="14.289999961853027" hidden="0" customWidth="1"/>
    <x:col min="25" max="25" width="12.859999656677246" hidden="0" customWidth="1"/>
    <x:col min="26" max="26" width="13.569999694824219" hidden="0" customWidth="1"/>
    <x:col min="27" max="27" width="16.43000030517578" hidden="0" customWidth="1"/>
    <x:col min="28" max="28" width="15" hidden="0" customWidth="1"/>
    <x:col min="29" max="29" width="46.43000030517578" hidden="0" customWidth="1"/>
  </x:cols>
  <x:sheetData>
    <x:row r="1" ht="25.5" customHeight="1">
      <x:c r="A1" s="1310" t="str">
        <x:v>Just20 Financial Model - Source Assumptions</x:v>
      </x:c>
      <x:c r="B1" s="1310"/>
      <x:c r="C1" s="1310"/>
      <x:c r="D1" s="1310"/>
      <x:c r="E1" s="1310"/>
      <x:c r="F1" s="1310"/>
      <x:c r="G1" s="1310"/>
      <x:c r="H1" s="1310"/>
      <x:c r="I1" s="1310"/>
      <x:c r="J1" s="1310"/>
      <x:c r="K1" s="1310"/>
      <x:c r="L1" s="1310"/>
      <x:c r="M1" s="1310"/>
      <x:c r="N1" s="1310"/>
      <x:c r="O1" s="1310"/>
      <x:c r="P1" s="1310"/>
      <x:c r="Q1" s="1310"/>
      <x:c r="R1" s="1310"/>
      <x:c r="S1" s="1310"/>
      <x:c r="T1" s="1310"/>
      <x:c r="U1" s="1310"/>
      <x:c r="V1" s="1310"/>
      <x:c r="W1" s="1310"/>
      <x:c r="X1" s="1310"/>
      <x:c r="Y1" s="1310"/>
      <x:c r="Z1" s="1310"/>
      <x:c r="AA1" s="1310"/>
      <x:c r="AB1" s="1310"/>
      <x:c r="AC1" s="1310"/>
    </x:row>
    <x:row r="2" ht="30" customHeight="1">
      <x:c r="A2" s="1312" t="str">
        <x:v>Scenario defaults are sourced from moonshot.md, MONETIZATION.md, and 90-day-cultural-breakout-plan.md. Blue/yellow cells are intended user-editable model inputs.</x:v>
      </x:c>
      <x:c r="B2" s="1312"/>
      <x:c r="C2" s="1312"/>
      <x:c r="D2" s="1312"/>
      <x:c r="E2" s="1312"/>
      <x:c r="F2" s="1312"/>
      <x:c r="G2" s="1312"/>
      <x:c r="H2" s="1312"/>
      <x:c r="I2" s="1312"/>
      <x:c r="J2" s="1312"/>
      <x:c r="K2" s="1312"/>
      <x:c r="L2" s="1312"/>
      <x:c r="M2" s="1312"/>
      <x:c r="N2" s="1312"/>
      <x:c r="O2" s="1312"/>
      <x:c r="P2" s="1312"/>
      <x:c r="Q2" s="1312"/>
      <x:c r="R2" s="1312"/>
      <x:c r="S2" s="1312"/>
      <x:c r="T2" s="1312"/>
      <x:c r="U2" s="1312"/>
      <x:c r="V2" s="1312"/>
      <x:c r="W2" s="1312"/>
      <x:c r="X2" s="1312"/>
      <x:c r="Y2" s="1312"/>
      <x:c r="Z2" s="1312"/>
      <x:c r="AA2" s="1314"/>
      <x:c r="AB2" s="1314"/>
      <x:c r="AC2" s="1314"/>
    </x:row>
    <x:row r="3">
      <x:c r="A3" s="700"/>
      <x:c r="B3" s="700"/>
      <x:c r="C3" s="700"/>
      <x:c r="D3" s="700"/>
      <x:c r="E3" s="700"/>
      <x:c r="F3" s="700"/>
      <x:c r="G3" s="700"/>
      <x:c r="H3" s="700"/>
      <x:c r="I3" s="700"/>
      <x:c r="J3" s="700"/>
      <x:c r="K3" s="700"/>
      <x:c r="L3" s="700"/>
      <x:c r="M3" s="700"/>
      <x:c r="N3" s="700"/>
      <x:c r="O3" s="700"/>
      <x:c r="P3" s="700"/>
      <x:c r="Q3" s="700"/>
      <x:c r="R3" s="700"/>
      <x:c r="S3" s="700"/>
      <x:c r="T3" s="700"/>
      <x:c r="U3" s="700"/>
      <x:c r="V3" s="700"/>
      <x:c r="W3" s="700"/>
      <x:c r="X3" s="700"/>
      <x:c r="Y3" s="700"/>
      <x:c r="Z3" s="700"/>
      <x:c r="AA3" s="316"/>
      <x:c r="AB3" s="316"/>
      <x:c r="AC3" s="316"/>
    </x:row>
    <x:row r="4">
      <x:c r="A4" s="1315" t="str">
        <x:v>Scenario Defaults</x:v>
      </x:c>
      <x:c r="B4" s="1315"/>
      <x:c r="C4" s="1315"/>
      <x:c r="D4" s="1315"/>
      <x:c r="E4" s="1315"/>
      <x:c r="F4" s="1315"/>
      <x:c r="G4" s="1315"/>
      <x:c r="H4" s="1315"/>
      <x:c r="I4" s="1315"/>
      <x:c r="J4" s="1315"/>
      <x:c r="K4" s="1315"/>
      <x:c r="L4" s="1315"/>
      <x:c r="M4" s="1315"/>
      <x:c r="N4" s="1315"/>
      <x:c r="O4" s="1315"/>
      <x:c r="P4" s="1315"/>
      <x:c r="Q4" s="1315"/>
      <x:c r="R4" s="1315"/>
      <x:c r="S4" s="1315"/>
      <x:c r="T4" s="1315"/>
      <x:c r="U4" s="1315"/>
      <x:c r="V4" s="1315"/>
      <x:c r="W4" s="1315"/>
      <x:c r="X4" s="1315"/>
      <x:c r="Y4" s="1315"/>
      <x:c r="Z4" s="1315"/>
      <x:c r="AA4" s="1315"/>
      <x:c r="AB4" s="1315"/>
      <x:c r="AC4" s="1315"/>
    </x:row>
    <x:row r="5" ht="28.5" customHeight="1">
      <x:c r="A5" s="318" t="str">
        <x:v>Scenario</x:v>
      </x:c>
      <x:c r="B5" s="319" t="str">
        <x:v>Global MAU</x:v>
      </x:c>
      <x:c r="C5" s="319" t="str">
        <x:v>Sponsored Entrant Rate</x:v>
      </x:c>
      <x:c r="D5" s="319" t="str">
        <x:v>Completion Rate</x:v>
      </x:c>
      <x:c r="E5" s="319" t="str">
        <x:v>Daily Engagement</x:v>
      </x:c>
      <x:c r="F5" s="319" t="str">
        <x:v>Challenge Days</x:v>
      </x:c>
      <x:c r="G5" s="319" t="str">
        <x:v>User Fee</x:v>
      </x:c>
      <x:c r="H5" s="319" t="str">
        <x:v>Completion Rebate</x:v>
      </x:c>
      <x:c r="I5" s="319" t="str">
        <x:v>Payment Reserve / Entrant</x:v>
      </x:c>
      <x:c r="J5" s="319" t="str">
        <x:v>Sponsor $ / Participant-Day</x:v>
      </x:c>
      <x:c r="K5" s="319" t="str">
        <x:v>Exclusivity Premium</x:v>
      </x:c>
      <x:c r="L5" s="319" t="str">
        <x:v>Active Sponsor Blocks</x:v>
      </x:c>
      <x:c r="M5" s="319" t="str">
        <x:v>Avg Monthly Sponsor Fee / Block</x:v>
      </x:c>
      <x:c r="N5" s="319" t="str">
        <x:v>Payment Processor Fee Rate</x:v>
      </x:c>
      <x:c r="O5" s="319" t="str">
        <x:v>App Store Fee Rate</x:v>
      </x:c>
      <x:c r="P5" s="319" t="str">
        <x:v>Server Cost / MAU</x:v>
      </x:c>
      <x:c r="Q5" s="319" t="str">
        <x:v>Fixed Ops / Tools</x:v>
      </x:c>
      <x:c r="R5" s="319" t="str">
        <x:v>UGC / Creator Budget</x:v>
      </x:c>
      <x:c r="S5" s="319" t="str">
        <x:v>Legal / Admin</x:v>
      </x:c>
      <x:c r="T5" s="319" t="str">
        <x:v>Founder Payroll</x:v>
      </x:c>
      <x:c r="U5" s="319" t="str">
        <x:v>Pro Conversion</x:v>
      </x:c>
      <x:c r="V5" s="319" t="str">
        <x:v>Pro Monthly Price</x:v>
      </x:c>
      <x:c r="W5" s="319" t="str">
        <x:v>Consumable Attach</x:v>
      </x:c>
      <x:c r="X5" s="319" t="str">
        <x:v>Consumable ARPPU</x:v>
      </x:c>
      <x:c r="Y5" s="319" t="str">
        <x:v>USA MAU Mix</x:v>
      </x:c>
      <x:c r="Z5" s="319" t="str">
        <x:v>Korea MAU Mix</x:v>
      </x:c>
      <x:c r="AA5" s="319" t="str">
        <x:v>Rest of World Mix</x:v>
      </x:c>
      <x:c r="AB5" s="319" t="str">
        <x:v>Monthly MAU Growth</x:v>
      </x:c>
      <x:c r="AC5" s="320" t="str">
        <x:v>Notes</x:v>
      </x:c>
    </x:row>
    <x:row r="6" ht="25.5" customHeight="1">
      <x:c r="A6" s="267" t="str">
        <x:v>Bear</x:v>
      </x:c>
      <x:c r="B6" s="1261" t="n">
        <x:v>100000</x:v>
      </x:c>
      <x:c r="C6" s="1262" t="n">
        <x:v>0.05</x:v>
      </x:c>
      <x:c r="D6" s="1262" t="n">
        <x:v>0.45</x:v>
      </x:c>
      <x:c r="E6" s="1262" t="n">
        <x:v>0.5</x:v>
      </x:c>
      <x:c r="F6" s="1263" t="n">
        <x:v>30</x:v>
      </x:c>
      <x:c r="G6" s="1264" t="n">
        <x:v>5</x:v>
      </x:c>
      <x:c r="H6" s="1264" t="n">
        <x:v>3</x:v>
      </x:c>
      <x:c r="I6" s="1264" t="n">
        <x:v>0.6</x:v>
      </x:c>
      <x:c r="J6" s="1264" t="n">
        <x:v>0.06</x:v>
      </x:c>
      <x:c r="K6" s="1262" t="n">
        <x:v>0.25</x:v>
      </x:c>
      <x:c r="L6" s="1263" t="n">
        <x:v>3</x:v>
      </x:c>
      <x:c r="M6" s="1265" t="n">
        <x:v>15000</x:v>
      </x:c>
      <x:c r="N6" s="1262" t="n">
        <x:v>0.04</x:v>
      </x:c>
      <x:c r="O6" s="1262" t="n">
        <x:v>0.15</x:v>
      </x:c>
      <x:c r="P6" s="1266" t="n">
        <x:v>0.02</x:v>
      </x:c>
      <x:c r="Q6" s="1265" t="n">
        <x:v>2500</x:v>
      </x:c>
      <x:c r="R6" s="1265" t="n">
        <x:v>2000</x:v>
      </x:c>
      <x:c r="S6" s="1265" t="n">
        <x:v>1500</x:v>
      </x:c>
      <x:c r="T6" s="1265" t="n">
        <x:v>0</x:v>
      </x:c>
      <x:c r="U6" s="1262" t="n">
        <x:v>0.015</x:v>
      </x:c>
      <x:c r="V6" s="1264" t="n">
        <x:v>4.99</x:v>
      </x:c>
      <x:c r="W6" s="1262" t="n">
        <x:v>0.005</x:v>
      </x:c>
      <x:c r="X6" s="1264" t="n">
        <x:v>1.49</x:v>
      </x:c>
      <x:c r="Y6" s="1262" t="n">
        <x:v>0.45</x:v>
      </x:c>
      <x:c r="Z6" s="1262" t="n">
        <x:v>0.1</x:v>
      </x:c>
      <x:c r="AA6" s="1262" t="n">
        <x:v>0.45</x:v>
      </x:c>
      <x:c r="AB6" s="1267" t="n">
        <x:v>0.05</x:v>
      </x:c>
      <x:c r="AC6" s="1363" t="str">
        <x:v>Low sponsorship demand; first paid challenge pilots.</x:v>
      </x:c>
    </x:row>
    <x:row r="7" ht="25.5" customHeight="1">
      <x:c r="A7" s="270" t="str">
        <x:v>Average</x:v>
      </x:c>
      <x:c r="B7" s="1268" t="n">
        <x:v>1000000</x:v>
      </x:c>
      <x:c r="C7" s="1269" t="n">
        <x:v>0.1</x:v>
      </x:c>
      <x:c r="D7" s="1269" t="n">
        <x:v>0.6</x:v>
      </x:c>
      <x:c r="E7" s="1269" t="n">
        <x:v>0.65</x:v>
      </x:c>
      <x:c r="F7" s="1270" t="n">
        <x:v>30</x:v>
      </x:c>
      <x:c r="G7" s="1271" t="n">
        <x:v>5</x:v>
      </x:c>
      <x:c r="H7" s="1271" t="n">
        <x:v>3</x:v>
      </x:c>
      <x:c r="I7" s="1271" t="n">
        <x:v>0.6</x:v>
      </x:c>
      <x:c r="J7" s="1271" t="n">
        <x:v>0.12</x:v>
      </x:c>
      <x:c r="K7" s="1269" t="n">
        <x:v>0.5</x:v>
      </x:c>
      <x:c r="L7" s="1270" t="n">
        <x:v>8</x:v>
      </x:c>
      <x:c r="M7" s="1272" t="n">
        <x:v>50000</x:v>
      </x:c>
      <x:c r="N7" s="1269" t="n">
        <x:v>0.04</x:v>
      </x:c>
      <x:c r="O7" s="1269" t="n">
        <x:v>0.15</x:v>
      </x:c>
      <x:c r="P7" s="1273" t="n">
        <x:v>0.015</x:v>
      </x:c>
      <x:c r="Q7" s="1272" t="n">
        <x:v>6000</x:v>
      </x:c>
      <x:c r="R7" s="1272" t="n">
        <x:v>10000</x:v>
      </x:c>
      <x:c r="S7" s="1272" t="n">
        <x:v>5000</x:v>
      </x:c>
      <x:c r="T7" s="1272" t="n">
        <x:v>0</x:v>
      </x:c>
      <x:c r="U7" s="1269" t="n">
        <x:v>0.025</x:v>
      </x:c>
      <x:c r="V7" s="1271" t="n">
        <x:v>4.99</x:v>
      </x:c>
      <x:c r="W7" s="1269" t="n">
        <x:v>0.01</x:v>
      </x:c>
      <x:c r="X7" s="1271" t="n">
        <x:v>1.99</x:v>
      </x:c>
      <x:c r="Y7" s="1269" t="n">
        <x:v>0.5</x:v>
      </x:c>
      <x:c r="Z7" s="1269" t="n">
        <x:v>0.1</x:v>
      </x:c>
      <x:c r="AA7" s="1269" t="n">
        <x:v>0.4</x:v>
      </x:c>
      <x:c r="AB7" s="1274" t="n">
        <x:v>0.08</x:v>
      </x:c>
      <x:c r="AC7" s="1364" t="str">
        <x:v>Moonshot base case: 1M MAU and filled regional sponsor blocks.</x:v>
      </x:c>
    </x:row>
    <x:row r="8" ht="25.5" customHeight="1">
      <x:c r="A8" s="270" t="str">
        <x:v>Bull</x:v>
      </x:c>
      <x:c r="B8" s="1268" t="n">
        <x:v>2000000</x:v>
      </x:c>
      <x:c r="C8" s="1269" t="n">
        <x:v>0.15</x:v>
      </x:c>
      <x:c r="D8" s="1269" t="n">
        <x:v>0.65</x:v>
      </x:c>
      <x:c r="E8" s="1269" t="n">
        <x:v>0.7</x:v>
      </x:c>
      <x:c r="F8" s="1270" t="n">
        <x:v>30</x:v>
      </x:c>
      <x:c r="G8" s="1271" t="n">
        <x:v>5</x:v>
      </x:c>
      <x:c r="H8" s="1271" t="n">
        <x:v>3</x:v>
      </x:c>
      <x:c r="I8" s="1271" t="n">
        <x:v>0.6</x:v>
      </x:c>
      <x:c r="J8" s="1271" t="n">
        <x:v>0.18</x:v>
      </x:c>
      <x:c r="K8" s="1269" t="n">
        <x:v>0.75</x:v>
      </x:c>
      <x:c r="L8" s="1270" t="n">
        <x:v>14</x:v>
      </x:c>
      <x:c r="M8" s="1272" t="n">
        <x:v>80000</x:v>
      </x:c>
      <x:c r="N8" s="1269" t="n">
        <x:v>0.04</x:v>
      </x:c>
      <x:c r="O8" s="1269" t="n">
        <x:v>0.15</x:v>
      </x:c>
      <x:c r="P8" s="1273" t="n">
        <x:v>0.012</x:v>
      </x:c>
      <x:c r="Q8" s="1272" t="n">
        <x:v>12000</x:v>
      </x:c>
      <x:c r="R8" s="1272" t="n">
        <x:v>25000</x:v>
      </x:c>
      <x:c r="S8" s="1272" t="n">
        <x:v>10000</x:v>
      </x:c>
      <x:c r="T8" s="1272" t="n">
        <x:v>0</x:v>
      </x:c>
      <x:c r="U8" s="1269" t="n">
        <x:v>0.035</x:v>
      </x:c>
      <x:c r="V8" s="1271" t="n">
        <x:v>4.99</x:v>
      </x:c>
      <x:c r="W8" s="1269" t="n">
        <x:v>0.02</x:v>
      </x:c>
      <x:c r="X8" s="1271" t="n">
        <x:v>2.49</x:v>
      </x:c>
      <x:c r="Y8" s="1269" t="n">
        <x:v>0.5</x:v>
      </x:c>
      <x:c r="Z8" s="1269" t="n">
        <x:v>0.12</x:v>
      </x:c>
      <x:c r="AA8" s="1269" t="n">
        <x:v>0.38</x:v>
      </x:c>
      <x:c r="AB8" s="1274" t="n">
        <x:v>0.1</x:v>
      </x:c>
      <x:c r="AC8" s="1364" t="str">
        <x:v>Large regional blocks, stronger sponsor proof, higher retention.</x:v>
      </x:c>
    </x:row>
    <x:row r="9" ht="25.5" customHeight="1">
      <x:c r="A9" s="273" t="str">
        <x:v>Breakout</x:v>
      </x:c>
      <x:c r="B9" s="1275" t="n">
        <x:v>5000000</x:v>
      </x:c>
      <x:c r="C9" s="1276" t="n">
        <x:v>0.2</x:v>
      </x:c>
      <x:c r="D9" s="1276" t="n">
        <x:v>0.7</x:v>
      </x:c>
      <x:c r="E9" s="1276" t="n">
        <x:v>0.75</x:v>
      </x:c>
      <x:c r="F9" s="1277" t="n">
        <x:v>30</x:v>
      </x:c>
      <x:c r="G9" s="1278" t="n">
        <x:v>5</x:v>
      </x:c>
      <x:c r="H9" s="1278" t="n">
        <x:v>3</x:v>
      </x:c>
      <x:c r="I9" s="1278" t="n">
        <x:v>0.6</x:v>
      </x:c>
      <x:c r="J9" s="1278" t="n">
        <x:v>0.25</x:v>
      </x:c>
      <x:c r="K9" s="1276" t="n">
        <x:v>1</x:v>
      </x:c>
      <x:c r="L9" s="1277" t="n">
        <x:v>25</x:v>
      </x:c>
      <x:c r="M9" s="1279" t="n">
        <x:v>150000</x:v>
      </x:c>
      <x:c r="N9" s="1276" t="n">
        <x:v>0.04</x:v>
      </x:c>
      <x:c r="O9" s="1276" t="n">
        <x:v>0.15</x:v>
      </x:c>
      <x:c r="P9" s="1280" t="n">
        <x:v>0.01</x:v>
      </x:c>
      <x:c r="Q9" s="1279" t="n">
        <x:v>25000</x:v>
      </x:c>
      <x:c r="R9" s="1279" t="n">
        <x:v>75000</x:v>
      </x:c>
      <x:c r="S9" s="1279" t="n">
        <x:v>25000</x:v>
      </x:c>
      <x:c r="T9" s="1279" t="n">
        <x:v>0</x:v>
      </x:c>
      <x:c r="U9" s="1276" t="n">
        <x:v>0.05</x:v>
      </x:c>
      <x:c r="V9" s="1278" t="n">
        <x:v>4.99</x:v>
      </x:c>
      <x:c r="W9" s="1276" t="n">
        <x:v>0.03</x:v>
      </x:c>
      <x:c r="X9" s="1278" t="n">
        <x:v>2.99</x:v>
      </x:c>
      <x:c r="Y9" s="1276" t="n">
        <x:v>0.45</x:v>
      </x:c>
      <x:c r="Z9" s="1276" t="n">
        <x:v>0.15</x:v>
      </x:c>
      <x:c r="AA9" s="1276" t="n">
        <x:v>0.4</x:v>
      </x:c>
      <x:c r="AB9" s="1281" t="n">
        <x:v>0.15</x:v>
      </x:c>
      <x:c r="AC9" s="1365" t="str">
        <x:v>Cultural phenomenon with multi-region category exclusivity.</x:v>
      </x:c>
    </x:row>
    <x:row r="10">
      <x:c r="A10" s="316"/>
      <x:c r="B10" s="316"/>
      <x:c r="C10" s="316"/>
      <x:c r="D10" s="316"/>
      <x:c r="E10" s="316"/>
      <x:c r="F10" s="316"/>
      <x:c r="G10" s="316"/>
      <x:c r="H10" s="316"/>
      <x:c r="I10" s="316"/>
      <x:c r="J10" s="316"/>
      <x:c r="K10" s="316"/>
      <x:c r="L10" s="316"/>
      <x:c r="M10" s="316"/>
      <x:c r="N10" s="316"/>
      <x:c r="O10" s="316"/>
      <x:c r="P10" s="316"/>
      <x:c r="Q10" s="316"/>
      <x:c r="R10" s="316"/>
      <x:c r="S10" s="316"/>
      <x:c r="T10" s="316"/>
      <x:c r="U10" s="316"/>
      <x:c r="V10" s="316"/>
      <x:c r="W10" s="316"/>
      <x:c r="X10" s="316"/>
      <x:c r="Y10" s="316"/>
      <x:c r="Z10" s="316"/>
      <x:c r="AA10" s="316"/>
      <x:c r="AB10" s="316"/>
      <x:c r="AC10" s="316"/>
    </x:row>
    <x:row r="11">
      <x:c r="A11" s="316"/>
      <x:c r="B11" s="316"/>
      <x:c r="C11" s="316"/>
      <x:c r="D11" s="316"/>
      <x:c r="E11" s="316"/>
      <x:c r="F11" s="316"/>
      <x:c r="G11" s="316"/>
      <x:c r="H11" s="316"/>
      <x:c r="I11" s="316"/>
      <x:c r="J11" s="316"/>
      <x:c r="K11" s="316"/>
      <x:c r="L11" s="316"/>
      <x:c r="M11" s="316"/>
      <x:c r="N11" s="316"/>
      <x:c r="O11" s="316"/>
      <x:c r="P11" s="316"/>
      <x:c r="Q11" s="316"/>
      <x:c r="R11" s="316"/>
      <x:c r="S11" s="316"/>
      <x:c r="T11" s="316"/>
      <x:c r="U11" s="316"/>
      <x:c r="V11" s="316"/>
      <x:c r="W11" s="316"/>
      <x:c r="X11" s="316"/>
      <x:c r="Y11" s="316"/>
      <x:c r="Z11" s="316"/>
      <x:c r="AA11" s="316"/>
      <x:c r="AB11" s="316"/>
      <x:c r="AC11" s="316"/>
    </x:row>
    <x:row r="12">
      <x:c r="A12" s="1315" t="str">
        <x:v>Scenario Interpretation</x:v>
      </x:c>
      <x:c r="B12" s="1315"/>
      <x:c r="C12" s="1315"/>
      <x:c r="D12" s="1315"/>
      <x:c r="E12" s="1315"/>
      <x:c r="F12" s="1315"/>
      <x:c r="G12" s="1315"/>
      <x:c r="H12" s="1315"/>
      <x:c r="I12" s="316"/>
      <x:c r="J12" s="316"/>
      <x:c r="K12" s="316"/>
      <x:c r="L12" s="316"/>
      <x:c r="M12" s="316"/>
      <x:c r="N12" s="316"/>
      <x:c r="O12" s="316"/>
      <x:c r="P12" s="316"/>
      <x:c r="Q12" s="316"/>
      <x:c r="R12" s="316"/>
      <x:c r="S12" s="316"/>
      <x:c r="T12" s="316"/>
      <x:c r="U12" s="316"/>
      <x:c r="V12" s="316"/>
      <x:c r="W12" s="316"/>
      <x:c r="X12" s="316"/>
      <x:c r="Y12" s="316"/>
      <x:c r="Z12" s="316"/>
      <x:c r="AA12" s="316"/>
      <x:c r="AB12" s="316"/>
      <x:c r="AC12" s="316"/>
    </x:row>
    <x:row r="13">
      <x:c r="A13" s="318" t="str">
        <x:v>Scenario</x:v>
      </x:c>
      <x:c r="B13" s="319" t="str">
        <x:v>Use Case</x:v>
      </x:c>
      <x:c r="C13" s="320" t="str">
        <x:v>Read</x:v>
      </x:c>
      <x:c r="D13" s="316"/>
      <x:c r="E13" s="316"/>
      <x:c r="F13" s="316"/>
      <x:c r="G13" s="316"/>
      <x:c r="H13" s="316"/>
      <x:c r="I13" s="316"/>
      <x:c r="J13" s="316"/>
      <x:c r="K13" s="316"/>
      <x:c r="L13" s="316"/>
      <x:c r="M13" s="316"/>
      <x:c r="N13" s="316"/>
      <x:c r="O13" s="316"/>
      <x:c r="P13" s="316"/>
      <x:c r="Q13" s="316"/>
      <x:c r="R13" s="316"/>
      <x:c r="S13" s="316"/>
      <x:c r="T13" s="316"/>
      <x:c r="U13" s="316"/>
      <x:c r="V13" s="316"/>
      <x:c r="W13" s="316"/>
      <x:c r="X13" s="316"/>
      <x:c r="Y13" s="316"/>
      <x:c r="Z13" s="316"/>
      <x:c r="AA13" s="316"/>
      <x:c r="AB13" s="316"/>
      <x:c r="AC13" s="316"/>
    </x:row>
    <x:row r="14" ht="46.5" customHeight="1">
      <x:c r="A14" s="267" t="str">
        <x:v>Bear</x:v>
      </x:c>
      <x:c r="B14" s="1043" t="str">
        <x:v>Founding sponsor / early monetization</x:v>
      </x:c>
      <x:c r="C14" s="1034" t="str">
        <x:v>Use this to understand whether the model covers costs before cultural breakout.</x:v>
      </x:c>
      <x:c r="D14" s="316"/>
      <x:c r="E14" s="316"/>
      <x:c r="F14" s="316"/>
      <x:c r="G14" s="316"/>
      <x:c r="H14" s="316"/>
      <x:c r="I14" s="316"/>
      <x:c r="J14" s="316"/>
      <x:c r="K14" s="316"/>
      <x:c r="L14" s="316"/>
      <x:c r="M14" s="316"/>
      <x:c r="N14" s="316"/>
      <x:c r="O14" s="316"/>
      <x:c r="P14" s="316"/>
      <x:c r="Q14" s="316"/>
      <x:c r="R14" s="316"/>
      <x:c r="S14" s="316"/>
      <x:c r="T14" s="316"/>
      <x:c r="U14" s="316"/>
      <x:c r="V14" s="316"/>
      <x:c r="W14" s="316"/>
      <x:c r="X14" s="316"/>
      <x:c r="Y14" s="316"/>
      <x:c r="Z14" s="316"/>
      <x:c r="AA14" s="316"/>
      <x:c r="AB14" s="316"/>
      <x:c r="AC14" s="316"/>
    </x:row>
    <x:row r="15" ht="46.5" customHeight="1">
      <x:c r="A15" s="270" t="str">
        <x:v>Average</x:v>
      </x:c>
      <x:c r="B15" s="1044" t="str">
        <x:v>1M MAU moonshot base case</x:v>
      </x:c>
      <x:c r="C15" s="1035" t="str">
        <x:v>Represents the main global sponsorship model with regional blocks filled.</x:v>
      </x:c>
      <x:c r="D15" s="316"/>
      <x:c r="E15" s="316"/>
      <x:c r="F15" s="316"/>
      <x:c r="G15" s="316"/>
      <x:c r="H15" s="316"/>
      <x:c r="I15" s="316"/>
      <x:c r="J15" s="316"/>
      <x:c r="K15" s="316"/>
      <x:c r="L15" s="316"/>
      <x:c r="M15" s="316"/>
      <x:c r="N15" s="316"/>
      <x:c r="O15" s="316"/>
      <x:c r="P15" s="316"/>
      <x:c r="Q15" s="316"/>
      <x:c r="R15" s="316"/>
      <x:c r="S15" s="316"/>
      <x:c r="T15" s="316"/>
      <x:c r="U15" s="316"/>
      <x:c r="V15" s="316"/>
      <x:c r="W15" s="316"/>
      <x:c r="X15" s="316"/>
      <x:c r="Y15" s="316"/>
      <x:c r="Z15" s="316"/>
      <x:c r="AA15" s="316"/>
      <x:c r="AB15" s="316"/>
      <x:c r="AC15" s="316"/>
    </x:row>
    <x:row r="16" ht="46.5" customHeight="1">
      <x:c r="A16" s="270" t="str">
        <x:v>Bull</x:v>
      </x:c>
      <x:c r="B16" s="1044" t="str">
        <x:v>Strong global traction</x:v>
      </x:c>
      <x:c r="C16" s="1035" t="str">
        <x:v>Tests larger sponsorship inventory and higher challenge penetration.</x:v>
      </x:c>
      <x:c r="D16" s="316"/>
      <x:c r="E16" s="316"/>
      <x:c r="F16" s="316"/>
      <x:c r="G16" s="316"/>
      <x:c r="H16" s="316"/>
      <x:c r="I16" s="316"/>
      <x:c r="J16" s="316"/>
      <x:c r="K16" s="316"/>
      <x:c r="L16" s="316"/>
      <x:c r="M16" s="316"/>
      <x:c r="N16" s="316"/>
      <x:c r="O16" s="316"/>
      <x:c r="P16" s="316"/>
      <x:c r="Q16" s="316"/>
      <x:c r="R16" s="316"/>
      <x:c r="S16" s="316"/>
      <x:c r="T16" s="316"/>
      <x:c r="U16" s="316"/>
      <x:c r="V16" s="316"/>
      <x:c r="W16" s="316"/>
      <x:c r="X16" s="316"/>
      <x:c r="Y16" s="316"/>
      <x:c r="Z16" s="316"/>
      <x:c r="AA16" s="316"/>
      <x:c r="AB16" s="316"/>
      <x:c r="AC16" s="316"/>
    </x:row>
    <x:row r="17" ht="46.5" customHeight="1">
      <x:c r="A17" s="273" t="str">
        <x:v>Breakout</x:v>
      </x:c>
      <x:c r="B17" s="1045" t="str">
        <x:v>Cultural phenomenon</x:v>
      </x:c>
      <x:c r="C17" s="1036" t="str">
        <x:v>Stress-tests large-scale regional sponsorship inventory and higher MAU growth.</x:v>
      </x:c>
      <x:c r="D17" s="316"/>
      <x:c r="E17" s="316"/>
      <x:c r="F17" s="316"/>
      <x:c r="G17" s="316"/>
      <x:c r="H17" s="316"/>
      <x:c r="I17" s="316"/>
      <x:c r="J17" s="316"/>
      <x:c r="K17" s="316"/>
      <x:c r="L17" s="316"/>
      <x:c r="M17" s="316"/>
      <x:c r="N17" s="316"/>
      <x:c r="O17" s="316"/>
      <x:c r="P17" s="316"/>
      <x:c r="Q17" s="316"/>
      <x:c r="R17" s="316"/>
      <x:c r="S17" s="316"/>
      <x:c r="T17" s="316"/>
      <x:c r="U17" s="316"/>
      <x:c r="V17" s="316"/>
      <x:c r="W17" s="316"/>
      <x:c r="X17" s="316"/>
      <x:c r="Y17" s="316"/>
      <x:c r="Z17" s="316"/>
      <x:c r="AA17" s="316"/>
      <x:c r="AB17" s="316"/>
      <x:c r="AC17" s="316"/>
    </x:row>
  </x:sheetData>
  <x:mergeCells>
    <x:mergeCell ref="A1:AC1"/>
    <x:mergeCell ref="A2:AC2"/>
    <x:mergeCell ref="A4:AC4"/>
    <x:mergeCell ref="A12:C12"/>
    <x:mergeCell ref="A12:H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1.43000030517578" hidden="0" customWidth="1"/>
    <x:col min="3" max="3" width="18.56999969482422" hidden="0" customWidth="1"/>
    <x:col min="4" max="4" width="15.710000038146973" hidden="0" customWidth="1"/>
    <x:col min="5" max="5" width="16.43000030517578" hidden="0" customWidth="1"/>
    <x:col min="6" max="6" width="17.860000610351562" hidden="0" customWidth="1"/>
    <x:col min="7" max="7" width="16.43000030517578" hidden="0" customWidth="1"/>
    <x:col min="8" max="8" width="20" hidden="0" customWidth="1"/>
    <x:col min="9" max="9" width="20" hidden="0" customWidth="1"/>
    <x:col min="10" max="10" width="20.709999084472656" hidden="0" customWidth="1"/>
    <x:col min="11" max="11" width="22.860000610351562" hidden="0" customWidth="1"/>
    <x:col min="12" max="12" width="20.709999084472656" hidden="0" customWidth="1"/>
    <x:col min="13" max="13" width="22.139999389648438" hidden="0" customWidth="1"/>
  </x:cols>
  <x:sheetData>
    <x:row r="1" ht="25.5" customHeight="1">
      <x:c r="A1" s="1310" t="str">
        <x:v>Regional Sponsorship Model</x:v>
      </x:c>
      <x:c r="B1" s="1310"/>
      <x:c r="C1" s="1310"/>
      <x:c r="D1" s="1310"/>
      <x:c r="E1" s="1310"/>
      <x:c r="F1" s="1310"/>
      <x:c r="G1" s="1310"/>
      <x:c r="H1" s="1310"/>
      <x:c r="I1" s="1310"/>
      <x:c r="J1" s="1310"/>
      <x:c r="K1" s="1310"/>
      <x:c r="L1" s="1310"/>
      <x:c r="M1" s="1310"/>
      <x:c r="N1" s="698"/>
      <x:c r="O1" s="698"/>
      <x:c r="P1" s="698"/>
      <x:c r="Q1" s="698"/>
      <x:c r="R1" s="698"/>
      <x:c r="S1" s="698"/>
      <x:c r="T1" s="698"/>
      <x:c r="U1" s="698"/>
      <x:c r="V1" s="698"/>
      <x:c r="W1" s="698"/>
      <x:c r="X1" s="698"/>
      <x:c r="Y1" s="698"/>
      <x:c r="Z1" s="698"/>
    </x:row>
    <x:row r="2" ht="30" customHeight="1">
      <x:c r="A2" s="1312" t="str">
        <x:v>Region-specific sponsorship blocks let domestic brands buy category exclusivity without blocking global inventory.</x:v>
      </x:c>
      <x:c r="B2" s="1312"/>
      <x:c r="C2" s="1312"/>
      <x:c r="D2" s="1312"/>
      <x:c r="E2" s="1312"/>
      <x:c r="F2" s="1312"/>
      <x:c r="G2" s="1312"/>
      <x:c r="H2" s="1312"/>
      <x:c r="I2" s="1312"/>
      <x:c r="J2" s="1312"/>
      <x:c r="K2" s="1312"/>
      <x:c r="L2" s="1312"/>
      <x:c r="M2" s="1312"/>
      <x:c r="N2" s="939"/>
      <x:c r="O2" s="939"/>
      <x:c r="P2" s="939"/>
      <x:c r="Q2" s="939"/>
      <x:c r="R2" s="939"/>
      <x:c r="S2" s="939"/>
      <x:c r="T2" s="939"/>
      <x:c r="U2" s="939"/>
      <x:c r="V2" s="939"/>
      <x:c r="W2" s="939"/>
      <x:c r="X2" s="939"/>
      <x:c r="Y2" s="939"/>
      <x:c r="Z2" s="939"/>
    </x:row>
    <x:row r="3">
      <x:c r="A3" s="700"/>
      <x:c r="B3" s="700"/>
      <x:c r="C3" s="700"/>
      <x:c r="D3" s="700"/>
      <x:c r="E3" s="700"/>
      <x:c r="F3" s="700"/>
      <x:c r="G3" s="700"/>
      <x:c r="H3" s="700"/>
      <x:c r="I3" s="700"/>
      <x:c r="J3" s="700"/>
      <x:c r="K3" s="700"/>
      <x:c r="L3" s="700"/>
      <x:c r="M3" s="700"/>
      <x:c r="N3" s="698"/>
      <x:c r="O3" s="698"/>
      <x:c r="P3" s="698"/>
      <x:c r="Q3" s="698"/>
      <x:c r="R3" s="698"/>
      <x:c r="S3" s="698"/>
      <x:c r="T3" s="698"/>
      <x:c r="U3" s="698"/>
      <x:c r="V3" s="698"/>
      <x:c r="W3" s="698"/>
      <x:c r="X3" s="698"/>
      <x:c r="Y3" s="698"/>
      <x:c r="Z3" s="698"/>
    </x:row>
    <x:row r="4">
      <x:c r="A4" s="1315" t="str">
        <x:v>Region Mix And Revenue</x:v>
      </x:c>
      <x:c r="B4" s="1315"/>
      <x:c r="C4" s="1315"/>
      <x:c r="D4" s="1315"/>
      <x:c r="E4" s="1315"/>
      <x:c r="F4" s="1315"/>
      <x:c r="G4" s="1315"/>
      <x:c r="H4" s="1315"/>
      <x:c r="I4" s="1315"/>
      <x:c r="J4" s="1315"/>
      <x:c r="K4" s="1315"/>
      <x:c r="L4" s="1315"/>
      <x:c r="M4" s="1315"/>
    </x:row>
    <x:row r="5" ht="31.5" customHeight="1">
      <x:c r="A5" s="318" t="str">
        <x:v>Region</x:v>
      </x:c>
      <x:c r="B5" s="319" t="str">
        <x:v>Scenario MAU Mix</x:v>
      </x:c>
      <x:c r="C5" s="319" t="str">
        <x:v>Manual Mix Override</x:v>
      </x:c>
      <x:c r="D5" s="319" t="str">
        <x:v>Active Mix</x:v>
      </x:c>
      <x:c r="E5" s="319" t="str">
        <x:v>Region MAU</x:v>
      </x:c>
      <x:c r="F5" s="319" t="str">
        <x:v>Entrant Rate Multiplier</x:v>
      </x:c>
      <x:c r="G5" s="319" t="str">
        <x:v>Entrants</x:v>
      </x:c>
      <x:c r="H5" s="319" t="str">
        <x:v>Engagement Multiplier</x:v>
      </x:c>
      <x:c r="I5" s="319" t="str">
        <x:v>Participant-Days</x:v>
      </x:c>
      <x:c r="J5" s="319" t="str">
        <x:v>Sponsor Rate Multiplier</x:v>
      </x:c>
      <x:c r="K5" s="319" t="str">
        <x:v>Sponsor Revenue</x:v>
      </x:c>
      <x:c r="L5" s="319" t="str">
        <x:v>Commitment Margin</x:v>
      </x:c>
      <x:c r="M5" s="320" t="str">
        <x:v>Total Revenue</x:v>
      </x:c>
    </x:row>
    <x:row r="6" ht="21" customHeight="1">
      <x:c r="A6" s="267" t="str">
        <x:v>USA</x:v>
      </x:c>
      <x:c r="B6" s="773" t="n">
        <x:f>INDEX(Assumptions!$Y$6:$Y$9,MATCH(Exec!$B$6,Assumptions!$A$6:$A$9,0))</x:f>
        <x:v>0.5</x:v>
      </x:c>
      <x:c r="C6" s="1282" t="str"/>
      <x:c r="D6" s="775" t="n">
        <x:f>IF(Exec!$B$7="Manual Overrides",IF(C6="",B6,C6),B6)</x:f>
        <x:v>0.5</x:v>
      </x:c>
      <x:c r="E6" s="776" t="n">
        <x:f>Exec!$D$13*D6</x:f>
        <x:v>500000</x:v>
      </x:c>
      <x:c r="F6" s="1254" t="n">
        <x:v>1.1</x:v>
      </x:c>
      <x:c r="G6" s="776" t="n">
        <x:f>E6*Exec!$D$14*F6</x:f>
        <x:v>55000.00000000001</x:v>
      </x:c>
      <x:c r="H6" s="1286" t="n">
        <x:v>1.05</x:v>
      </x:c>
      <x:c r="I6" s="776" t="n">
        <x:f>G6*Exec!$D$16*Exec!$D$17*H6</x:f>
        <x:v>1126125.0000000002</x:v>
      </x:c>
      <x:c r="J6" s="1286" t="n">
        <x:v>1.35</x:v>
      </x:c>
      <x:c r="K6" s="778" t="n">
        <x:f>I6*Exec!$D$21*(1+Exec!$D$22)*J6</x:f>
        <x:v>273648.3750000001</x:v>
      </x:c>
      <x:c r="L6" s="778" t="n">
        <x:f>G6*Exec!$D$18-(G6*Exec!$D$15*Exec!$D$19)-(G6*Exec!$D$20+G6*Exec!$D$18*Exec!$D$25)</x:f>
        <x:v>132000.00000000006</x:v>
      </x:c>
      <x:c r="M6" s="779" t="n">
        <x:f>K6+L6</x:f>
        <x:v>405648.3750000002</x:v>
      </x:c>
    </x:row>
    <x:row r="7" ht="21" customHeight="1">
      <x:c r="A7" s="270" t="str">
        <x:v>Korea</x:v>
      </x:c>
      <x:c r="B7" s="780" t="n">
        <x:f>INDEX(Assumptions!$Z$6:$Z$9,MATCH(Exec!$B$6,Assumptions!$A$6:$A$9,0))</x:f>
        <x:v>0.1</x:v>
      </x:c>
      <x:c r="C7" s="1255" t="str"/>
      <x:c r="D7" s="781" t="n">
        <x:f>IF(Exec!$B$7="Manual Overrides",IF(C7="",B7,C7),B7)</x:f>
        <x:v>0.1</x:v>
      </x:c>
      <x:c r="E7" s="782" t="n">
        <x:f>Exec!$D$13*D7</x:f>
        <x:v>100000</x:v>
      </x:c>
      <x:c r="F7" s="1284" t="n">
        <x:v>1</x:v>
      </x:c>
      <x:c r="G7" s="782" t="n">
        <x:f>E7*Exec!$D$14*F7</x:f>
        <x:v>10000</x:v>
      </x:c>
      <x:c r="H7" s="1287" t="n">
        <x:v>1</x:v>
      </x:c>
      <x:c r="I7" s="782" t="n">
        <x:f>G7*Exec!$D$16*Exec!$D$17*H7</x:f>
        <x:v>195000</x:v>
      </x:c>
      <x:c r="J7" s="1287" t="n">
        <x:v>1.1</x:v>
      </x:c>
      <x:c r="K7" s="783" t="n">
        <x:f>I7*Exec!$D$21*(1+Exec!$D$22)*J7</x:f>
        <x:v>38610</x:v>
      </x:c>
      <x:c r="L7" s="783" t="n">
        <x:f>G7*Exec!$D$18-(G7*Exec!$D$15*Exec!$D$19)-(G7*Exec!$D$20+G7*Exec!$D$18*Exec!$D$25)</x:f>
        <x:v>24000</x:v>
      </x:c>
      <x:c r="M7" s="784" t="n">
        <x:f>K7+L7</x:f>
        <x:v>62610</x:v>
      </x:c>
    </x:row>
    <x:row r="8" ht="21" customHeight="1">
      <x:c r="A8" s="273" t="str">
        <x:v>Rest of World</x:v>
      </x:c>
      <x:c r="B8" s="785" t="n">
        <x:f>INDEX(Assumptions!$AA$6:$AA$9,MATCH(Exec!$B$6,Assumptions!$A$6:$A$9,0))</x:f>
        <x:v>0.4</x:v>
      </x:c>
      <x:c r="C8" s="1283" t="str"/>
      <x:c r="D8" s="655" t="n">
        <x:f>IF(Exec!$B$7="Manual Overrides",IF(C8="",B8,C8),B8)</x:f>
        <x:v>0.4</x:v>
      </x:c>
      <x:c r="E8" s="661" t="n">
        <x:f>Exec!$D$13*D8</x:f>
        <x:v>400000</x:v>
      </x:c>
      <x:c r="F8" s="1285" t="n">
        <x:v>0.9</x:v>
      </x:c>
      <x:c r="G8" s="661" t="n">
        <x:f>E8*Exec!$D$14*F8</x:f>
        <x:v>36000</x:v>
      </x:c>
      <x:c r="H8" s="1288" t="n">
        <x:v>0.9</x:v>
      </x:c>
      <x:c r="I8" s="661" t="n">
        <x:f>G8*Exec!$D$16*Exec!$D$17*H8</x:f>
        <x:v>631800</x:v>
      </x:c>
      <x:c r="J8" s="1288" t="n">
        <x:v>0.8</x:v>
      </x:c>
      <x:c r="K8" s="662" t="n">
        <x:f>I8*Exec!$D$21*(1+Exec!$D$22)*J8</x:f>
        <x:v>90979.20000000001</x:v>
      </x:c>
      <x:c r="L8" s="662" t="n">
        <x:f>G8*Exec!$D$18-(G8*Exec!$D$15*Exec!$D$19)-(G8*Exec!$D$20+G8*Exec!$D$18*Exec!$D$25)</x:f>
        <x:v>86400</x:v>
      </x:c>
      <x:c r="M8" s="786" t="n">
        <x:f>K8+L8</x:f>
        <x:v>177379.2</x:v>
      </x:c>
    </x:row>
    <x:row r="9">
      <x:c r="A9" s="316"/>
      <x:c r="B9" s="787"/>
      <x:c r="C9" s="788"/>
      <x:c r="D9" s="789"/>
      <x:c r="E9" s="790"/>
      <x:c r="F9" s="791"/>
      <x:c r="G9" s="790"/>
      <x:c r="H9" s="792"/>
      <x:c r="I9" s="790"/>
      <x:c r="J9" s="792"/>
      <x:c r="K9" s="793"/>
      <x:c r="L9" s="793"/>
      <x:c r="M9" s="794"/>
    </x:row>
    <x:row r="10">
      <x:c r="A10" s="404" t="str">
        <x:v>Total</x:v>
      </x:c>
      <x:c r="B10" s="795" t="str"/>
      <x:c r="C10" s="796" t="str"/>
      <x:c r="D10" s="797" t="n">
        <x:f>SUM(D6:D8)</x:f>
        <x:v>1</x:v>
      </x:c>
      <x:c r="E10" s="798" t="n">
        <x:f>SUM(E6:E8)</x:f>
        <x:v>1000000</x:v>
      </x:c>
      <x:c r="F10" s="799" t="str"/>
      <x:c r="G10" s="798" t="n">
        <x:f>SUM(G6:G8)</x:f>
        <x:v>101000</x:v>
      </x:c>
      <x:c r="H10" s="800" t="str"/>
      <x:c r="I10" s="798" t="n">
        <x:f>SUM(I6:I8)</x:f>
        <x:v>1952925.0000000002</x:v>
      </x:c>
      <x:c r="J10" s="800" t="str"/>
      <x:c r="K10" s="801" t="n">
        <x:f>SUM(K6:K8)</x:f>
        <x:v>403237.5750000001</x:v>
      </x:c>
      <x:c r="L10" s="801" t="n">
        <x:f>SUM(L6:L8)</x:f>
        <x:v>242400.00000000006</x:v>
      </x:c>
      <x:c r="M10" s="802" t="n">
        <x:f>SUM(M6:M8)</x:f>
        <x:v>645637.5750000002</x:v>
      </x:c>
    </x:row>
    <x:row r="11">
      <x:c r="A11" s="316"/>
      <x:c r="B11" s="316"/>
      <x:c r="C11" s="316"/>
      <x:c r="D11" s="316"/>
      <x:c r="E11" s="316"/>
      <x:c r="F11" s="316"/>
      <x:c r="G11" s="316"/>
      <x:c r="H11" s="316"/>
      <x:c r="I11" s="316"/>
      <x:c r="J11" s="316"/>
      <x:c r="K11" s="316"/>
      <x:c r="L11" s="316"/>
      <x:c r="M11" s="316"/>
    </x:row>
    <x:row r="12">
      <x:c r="A12" s="316"/>
      <x:c r="B12" s="316"/>
      <x:c r="C12" s="316"/>
      <x:c r="D12" s="316"/>
      <x:c r="E12" s="316"/>
      <x:c r="F12" s="316"/>
      <x:c r="G12" s="316"/>
      <x:c r="H12" s="316"/>
      <x:c r="I12" s="316"/>
      <x:c r="J12" s="316"/>
      <x:c r="K12" s="316"/>
      <x:c r="L12" s="316"/>
      <x:c r="M12" s="316"/>
    </x:row>
    <x:row r="13">
      <x:c r="A13" s="1315" t="str">
        <x:v>Regional Notes</x:v>
      </x:c>
      <x:c r="B13" s="1315"/>
      <x:c r="C13" s="1315"/>
      <x:c r="D13" s="1315"/>
      <x:c r="E13" s="1315"/>
      <x:c r="F13" s="1315"/>
      <x:c r="G13" s="316"/>
      <x:c r="H13" s="316"/>
      <x:c r="I13" s="316"/>
      <x:c r="J13" s="316"/>
      <x:c r="K13" s="316"/>
      <x:c r="L13" s="316"/>
      <x:c r="M13" s="316"/>
    </x:row>
    <x:row r="14">
      <x:c r="A14" s="318" t="str">
        <x:v>Region</x:v>
      </x:c>
      <x:c r="B14" s="1316" t="str">
        <x:v>Sponsor Sales Angle</x:v>
      </x:c>
      <x:c r="C14" s="1317"/>
      <x:c r="D14" s="1317"/>
      <x:c r="E14" s="1317"/>
      <x:c r="F14" s="1317"/>
      <x:c r="G14" s="316"/>
      <x:c r="H14" s="316"/>
      <x:c r="I14" s="316"/>
      <x:c r="J14" s="316"/>
      <x:c r="K14" s="316"/>
      <x:c r="L14" s="316"/>
      <x:c r="M14" s="316"/>
    </x:row>
    <x:row r="15" ht="37.5" customHeight="1">
      <x:c r="A15" s="267" t="str">
        <x:v>USA</x:v>
      </x:c>
      <x:c r="B15" s="1034" t="str">
        <x:v>Largest sponsor budgets; best for protein, apparel, hydration, wearables.</x:v>
      </x:c>
      <x:c r="C15" s="1317"/>
      <x:c r="D15" s="1317"/>
      <x:c r="E15" s="1317"/>
      <x:c r="F15" s="1317"/>
      <x:c r="G15" s="316"/>
      <x:c r="H15" s="316"/>
      <x:c r="I15" s="316"/>
      <x:c r="J15" s="316"/>
      <x:c r="K15" s="316"/>
      <x:c r="L15" s="316"/>
      <x:c r="M15" s="316"/>
    </x:row>
    <x:row r="16" ht="37.5" customHeight="1">
      <x:c r="A16" s="270" t="str">
        <x:v>Korea</x:v>
      </x:c>
      <x:c r="B16" s="1035" t="str">
        <x:v>Useful for domestic brands and cultural traction; category exclusivity can be region locked.</x:v>
      </x:c>
      <x:c r="C16" s="1317"/>
      <x:c r="D16" s="1317"/>
      <x:c r="E16" s="1317"/>
      <x:c r="F16" s="1317"/>
      <x:c r="G16" s="316"/>
      <x:c r="H16" s="316"/>
      <x:c r="I16" s="316"/>
      <x:c r="J16" s="316"/>
      <x:c r="K16" s="316"/>
      <x:c r="L16" s="316"/>
      <x:c r="M16" s="316"/>
    </x:row>
    <x:row r="17" ht="37.5" customHeight="1">
      <x:c r="A17" s="273" t="str">
        <x:v>Rest of World</x:v>
      </x:c>
      <x:c r="B17" s="1036" t="str">
        <x:v>Add country-specific tabs when a region has enough MAU and sponsor demand.</x:v>
      </x:c>
      <x:c r="C17" s="1317"/>
      <x:c r="D17" s="1317"/>
      <x:c r="E17" s="1317"/>
      <x:c r="F17" s="1317"/>
      <x:c r="G17" s="316"/>
      <x:c r="H17" s="316"/>
      <x:c r="I17" s="316"/>
      <x:c r="J17" s="316"/>
      <x:c r="K17" s="316"/>
      <x:c r="L17" s="316"/>
      <x:c r="M17" s="316"/>
    </x:row>
  </x:sheetData>
  <x:mergeCells>
    <x:mergeCell ref="A1:M1"/>
    <x:mergeCell ref="A2:M2"/>
    <x:mergeCell ref="A4:M4"/>
    <x:mergeCell ref="A13:F13"/>
    <x:mergeCell ref="B14:F14"/>
    <x:mergeCell ref="B15:F15"/>
    <x:mergeCell ref="B16:F16"/>
    <x:mergeCell ref="B17:F1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5.710000038146973" hidden="0" customWidth="1"/>
    <x:col min="3" max="3" width="15.710000038146973" hidden="0" customWidth="1"/>
    <x:col min="4" max="4" width="15.710000038146973" hidden="0" customWidth="1"/>
    <x:col min="5" max="5" width="15.710000038146973" hidden="0" customWidth="1"/>
    <x:col min="6" max="6" width="15.710000038146973" hidden="0" customWidth="1"/>
    <x:col min="7" max="7" width="15.710000038146973" hidden="0" customWidth="1"/>
    <x:col min="8" max="8" width="15.710000038146973" hidden="0" customWidth="1"/>
    <x:col min="9" max="9" width="15.710000038146973" hidden="0" customWidth="1"/>
    <x:col min="10" max="10" width="15.710000038146973" hidden="0" customWidth="1"/>
    <x:col min="11" max="11" width="15.710000038146973" hidden="0" customWidth="1"/>
    <x:col min="12" max="12" width="15.710000038146973" hidden="0" customWidth="1"/>
    <x:col min="13" max="13" width="15.710000038146973" hidden="0" customWidth="1"/>
    <x:col min="14" max="14" width="15.710000038146973" hidden="0" customWidth="1"/>
    <x:col min="15" max="15" width="15.710000038146973" hidden="0" customWidth="1"/>
    <x:col min="16" max="16" width="15.710000038146973" hidden="0" customWidth="1"/>
  </x:cols>
  <x:sheetData>
    <x:row r="1" ht="25.5" customHeight="1">
      <x:c r="A1" s="1310" t="str">
        <x:v>12-Month Revenue Model</x:v>
      </x:c>
      <x:c r="B1" s="1310"/>
      <x:c r="C1" s="1310"/>
      <x:c r="D1" s="1310"/>
      <x:c r="E1" s="1310"/>
      <x:c r="F1" s="1310"/>
      <x:c r="G1" s="1310"/>
      <x:c r="H1" s="1310"/>
      <x:c r="I1" s="1310"/>
      <x:c r="J1" s="1310"/>
      <x:c r="K1" s="1310"/>
      <x:c r="L1" s="1310"/>
      <x:c r="M1" s="1310"/>
      <x:c r="N1" s="697"/>
      <x:c r="O1" s="697"/>
      <x:c r="P1" s="697"/>
      <x:c r="Q1" s="698"/>
      <x:c r="R1" s="698"/>
      <x:c r="S1" s="698"/>
      <x:c r="T1" s="698"/>
      <x:c r="U1" s="698"/>
      <x:c r="V1" s="698"/>
      <x:c r="W1" s="698"/>
      <x:c r="X1" s="698"/>
      <x:c r="Y1" s="698"/>
      <x:c r="Z1" s="698"/>
    </x:row>
    <x:row r="2" ht="30" customHeight="1">
      <x:c r="A2" s="1312" t="str">
        <x:v>Monthly forecast uses active Exec assumptions and the selected monthly MAU growth rate. Edit driver cells on Exec to update this table.</x:v>
      </x:c>
      <x:c r="B2" s="1312"/>
      <x:c r="C2" s="1312"/>
      <x:c r="D2" s="1312"/>
      <x:c r="E2" s="1312"/>
      <x:c r="F2" s="1312"/>
      <x:c r="G2" s="1312"/>
      <x:c r="H2" s="1312"/>
      <x:c r="I2" s="1312"/>
      <x:c r="J2" s="1312"/>
      <x:c r="K2" s="1312"/>
      <x:c r="L2" s="1312"/>
      <x:c r="M2" s="1312"/>
      <x:c r="N2" s="938"/>
      <x:c r="O2" s="938"/>
      <x:c r="P2" s="938"/>
      <x:c r="Q2" s="939"/>
      <x:c r="R2" s="939"/>
      <x:c r="S2" s="939"/>
      <x:c r="T2" s="939"/>
      <x:c r="U2" s="939"/>
      <x:c r="V2" s="939"/>
      <x:c r="W2" s="939"/>
      <x:c r="X2" s="939"/>
      <x:c r="Y2" s="939"/>
      <x:c r="Z2" s="939"/>
    </x:row>
    <x:row r="3">
      <x:c r="A3" s="700"/>
      <x:c r="B3" s="700"/>
      <x:c r="C3" s="700"/>
      <x:c r="D3" s="700"/>
      <x:c r="E3" s="700"/>
      <x:c r="F3" s="700"/>
      <x:c r="G3" s="700"/>
      <x:c r="H3" s="700"/>
      <x:c r="I3" s="700"/>
      <x:c r="J3" s="700"/>
      <x:c r="K3" s="700"/>
      <x:c r="L3" s="700"/>
      <x:c r="M3" s="700"/>
      <x:c r="N3" s="700"/>
      <x:c r="O3" s="700"/>
      <x:c r="P3" s="700"/>
      <x:c r="Q3" s="698"/>
      <x:c r="R3" s="698"/>
      <x:c r="S3" s="698"/>
      <x:c r="T3" s="698"/>
      <x:c r="U3" s="698"/>
      <x:c r="V3" s="698"/>
      <x:c r="W3" s="698"/>
      <x:c r="X3" s="698"/>
      <x:c r="Y3" s="698"/>
      <x:c r="Z3" s="698"/>
    </x:row>
    <x:row r="4">
      <x:c r="A4" s="1315" t="str">
        <x:v>Monthly Forecast</x:v>
      </x:c>
      <x:c r="B4" s="1315"/>
      <x:c r="C4" s="1315"/>
      <x:c r="D4" s="1315"/>
      <x:c r="E4" s="1315"/>
      <x:c r="F4" s="1315"/>
      <x:c r="G4" s="1315"/>
      <x:c r="H4" s="1315"/>
      <x:c r="I4" s="1315"/>
      <x:c r="J4" s="1315"/>
      <x:c r="K4" s="1315"/>
      <x:c r="L4" s="1315"/>
      <x:c r="M4" s="1315"/>
      <x:c r="N4" s="1315"/>
      <x:c r="O4" s="1315"/>
      <x:c r="P4" s="1315"/>
    </x:row>
    <x:row r="5" ht="22.5" customHeight="1">
      <x:c r="A5" s="318" t="str">
        <x:v>Metric</x:v>
      </x:c>
      <x:c r="B5" s="319" t="str">
        <x:v>M1</x:v>
      </x:c>
      <x:c r="C5" s="319" t="str">
        <x:v>M2</x:v>
      </x:c>
      <x:c r="D5" s="319" t="str">
        <x:v>M3</x:v>
      </x:c>
      <x:c r="E5" s="319" t="str">
        <x:v>M4</x:v>
      </x:c>
      <x:c r="F5" s="319" t="str">
        <x:v>M5</x:v>
      </x:c>
      <x:c r="G5" s="319" t="str">
        <x:v>M6</x:v>
      </x:c>
      <x:c r="H5" s="319" t="str">
        <x:v>M7</x:v>
      </x:c>
      <x:c r="I5" s="319" t="str">
        <x:v>M8</x:v>
      </x:c>
      <x:c r="J5" s="319" t="str">
        <x:v>M9</x:v>
      </x:c>
      <x:c r="K5" s="319" t="str">
        <x:v>M10</x:v>
      </x:c>
      <x:c r="L5" s="319" t="str">
        <x:v>M11</x:v>
      </x:c>
      <x:c r="M5" s="320" t="str">
        <x:v>M12</x:v>
      </x:c>
      <x:c r="N5" s="316"/>
      <x:c r="O5" s="316"/>
      <x:c r="P5" s="316"/>
    </x:row>
    <x:row r="6" ht="18" customHeight="1">
      <x:c r="A6" s="267" t="str">
        <x:v>Global MAU</x:v>
      </x:c>
      <x:c r="B6" s="803" t="n">
        <x:f>Exec!$D$13</x:f>
        <x:v>1000000</x:v>
      </x:c>
      <x:c r="C6" s="776" t="n">
        <x:f>B6*(1+Exec!$D$36)</x:f>
        <x:v>1080000</x:v>
      </x:c>
      <x:c r="D6" s="776" t="n">
        <x:f>C6*(1+Exec!$D$36)</x:f>
        <x:v>1166400</x:v>
      </x:c>
      <x:c r="E6" s="776" t="n">
        <x:f>D6*(1+Exec!$D$36)</x:f>
        <x:v>1259712</x:v>
      </x:c>
      <x:c r="F6" s="776" t="n">
        <x:f>E6*(1+Exec!$D$36)</x:f>
        <x:v>1360488.9600000002</x:v>
      </x:c>
      <x:c r="G6" s="776" t="n">
        <x:f>F6*(1+Exec!$D$36)</x:f>
        <x:v>1469328.0768000004</x:v>
      </x:c>
      <x:c r="H6" s="776" t="n">
        <x:f>G6*(1+Exec!$D$36)</x:f>
        <x:v>1586874.3229440006</x:v>
      </x:c>
      <x:c r="I6" s="776" t="n">
        <x:f>H6*(1+Exec!$D$36)</x:f>
        <x:v>1713824.2687795206</x:v>
      </x:c>
      <x:c r="J6" s="776" t="n">
        <x:f>I6*(1+Exec!$D$36)</x:f>
        <x:v>1850930.2102818824</x:v>
      </x:c>
      <x:c r="K6" s="776" t="n">
        <x:f>J6*(1+Exec!$D$36)</x:f>
        <x:v>1999004.6271044333</x:v>
      </x:c>
      <x:c r="L6" s="776" t="n">
        <x:f>K6*(1+Exec!$D$36)</x:f>
        <x:v>2158924.997272788</x:v>
      </x:c>
      <x:c r="M6" s="804" t="n">
        <x:f>L6*(1+Exec!$D$36)</x:f>
        <x:v>2331638.9970546113</x:v>
      </x:c>
      <x:c r="N6" s="316"/>
      <x:c r="O6" s="316"/>
      <x:c r="P6" s="316"/>
    </x:row>
    <x:row r="7" ht="18" customHeight="1">
      <x:c r="A7" s="270" t="str">
        <x:v>Challenge entrants</x:v>
      </x:c>
      <x:c r="B7" s="805" t="n">
        <x:f>B6*Exec!$D$14</x:f>
        <x:v>100000</x:v>
      </x:c>
      <x:c r="C7" s="782" t="n">
        <x:f>C6*Exec!$D$14</x:f>
        <x:v>108000</x:v>
      </x:c>
      <x:c r="D7" s="782" t="n">
        <x:f>D6*Exec!$D$14</x:f>
        <x:v>116640</x:v>
      </x:c>
      <x:c r="E7" s="782" t="n">
        <x:f>E6*Exec!$D$14</x:f>
        <x:v>125971.20000000001</x:v>
      </x:c>
      <x:c r="F7" s="782" t="n">
        <x:f>F6*Exec!$D$14</x:f>
        <x:v>136048.89600000004</x:v>
      </x:c>
      <x:c r="G7" s="782" t="n">
        <x:f>G6*Exec!$D$14</x:f>
        <x:v>146932.80768000006</x:v>
      </x:c>
      <x:c r="H7" s="782" t="n">
        <x:f>H6*Exec!$D$14</x:f>
        <x:v>158687.43229440006</x:v>
      </x:c>
      <x:c r="I7" s="782" t="n">
        <x:f>I6*Exec!$D$14</x:f>
        <x:v>171382.42687795206</x:v>
      </x:c>
      <x:c r="J7" s="782" t="n">
        <x:f>J6*Exec!$D$14</x:f>
        <x:v>185093.02102818826</x:v>
      </x:c>
      <x:c r="K7" s="782" t="n">
        <x:f>K6*Exec!$D$14</x:f>
        <x:v>199900.46271044333</x:v>
      </x:c>
      <x:c r="L7" s="782" t="n">
        <x:f>L6*Exec!$D$14</x:f>
        <x:v>215892.49972727883</x:v>
      </x:c>
      <x:c r="M7" s="806" t="n">
        <x:f>M6*Exec!$D$14</x:f>
        <x:v>233163.89970546114</x:v>
      </x:c>
      <x:c r="N7" s="316"/>
      <x:c r="O7" s="316"/>
      <x:c r="P7" s="316"/>
    </x:row>
    <x:row r="8" ht="18" customHeight="1">
      <x:c r="A8" s="270" t="str">
        <x:v>Participant-days</x:v>
      </x:c>
      <x:c r="B8" s="805" t="n">
        <x:f>B7*Exec!$D$16*Exec!$D$17</x:f>
        <x:v>1950000</x:v>
      </x:c>
      <x:c r="C8" s="782" t="n">
        <x:f>C7*Exec!$D$16*Exec!$D$17</x:f>
        <x:v>2106000</x:v>
      </x:c>
      <x:c r="D8" s="782" t="n">
        <x:f>D7*Exec!$D$16*Exec!$D$17</x:f>
        <x:v>2274480</x:v>
      </x:c>
      <x:c r="E8" s="782" t="n">
        <x:f>E7*Exec!$D$16*Exec!$D$17</x:f>
        <x:v>2456438.4000000004</x:v>
      </x:c>
      <x:c r="F8" s="782" t="n">
        <x:f>F7*Exec!$D$16*Exec!$D$17</x:f>
        <x:v>2652953.472000001</x:v>
      </x:c>
      <x:c r="G8" s="782" t="n">
        <x:f>G7*Exec!$D$16*Exec!$D$17</x:f>
        <x:v>2865189.749760001</x:v>
      </x:c>
      <x:c r="H8" s="782" t="n">
        <x:f>H7*Exec!$D$16*Exec!$D$17</x:f>
        <x:v>3094404.929740801</x:v>
      </x:c>
      <x:c r="I8" s="782" t="n">
        <x:f>I7*Exec!$D$16*Exec!$D$17</x:f>
        <x:v>3341957.324120065</x:v>
      </x:c>
      <x:c r="J8" s="782" t="n">
        <x:f>J7*Exec!$D$16*Exec!$D$17</x:f>
        <x:v>3609313.9100496713</x:v>
      </x:c>
      <x:c r="K8" s="782" t="n">
        <x:f>K7*Exec!$D$16*Exec!$D$17</x:f>
        <x:v>3898059.022853645</x:v>
      </x:c>
      <x:c r="L8" s="782" t="n">
        <x:f>L7*Exec!$D$16*Exec!$D$17</x:f>
        <x:v>4209903.744681938</x:v>
      </x:c>
      <x:c r="M8" s="806" t="n">
        <x:f>M7*Exec!$D$16*Exec!$D$17</x:f>
        <x:v>4546696.0442564925</x:v>
      </x:c>
      <x:c r="N8" s="316"/>
      <x:c r="O8" s="316"/>
      <x:c r="P8" s="316"/>
    </x:row>
    <x:row r="9" ht="18" customHeight="1">
      <x:c r="A9" s="270" t="str">
        <x:v>Gross commitment fees</x:v>
      </x:c>
      <x:c r="B9" s="807" t="n">
        <x:f>B7*Exec!$D$18</x:f>
        <x:v>500000</x:v>
      </x:c>
      <x:c r="C9" s="783" t="n">
        <x:f>C7*Exec!$D$18</x:f>
        <x:v>540000</x:v>
      </x:c>
      <x:c r="D9" s="783" t="n">
        <x:f>D7*Exec!$D$18</x:f>
        <x:v>583200</x:v>
      </x:c>
      <x:c r="E9" s="783" t="n">
        <x:f>E7*Exec!$D$18</x:f>
        <x:v>629856</x:v>
      </x:c>
      <x:c r="F9" s="783" t="n">
        <x:f>F7*Exec!$D$18</x:f>
        <x:v>680244.4800000002</x:v>
      </x:c>
      <x:c r="G9" s="783" t="n">
        <x:f>G7*Exec!$D$18</x:f>
        <x:v>734664.0384000003</x:v>
      </x:c>
      <x:c r="H9" s="783" t="n">
        <x:f>H7*Exec!$D$18</x:f>
        <x:v>793437.1614720003</x:v>
      </x:c>
      <x:c r="I9" s="783" t="n">
        <x:f>I7*Exec!$D$18</x:f>
        <x:v>856912.1343897603</x:v>
      </x:c>
      <x:c r="J9" s="783" t="n">
        <x:f>J7*Exec!$D$18</x:f>
        <x:v>925465.1051409413</x:v>
      </x:c>
      <x:c r="K9" s="783" t="n">
        <x:f>K7*Exec!$D$18</x:f>
        <x:v>999502.3135522166</x:v>
      </x:c>
      <x:c r="L9" s="783" t="n">
        <x:f>L7*Exec!$D$18</x:f>
        <x:v>1079462.4986363943</x:v>
      </x:c>
      <x:c r="M9" s="784" t="n">
        <x:f>M7*Exec!$D$18</x:f>
        <x:v>1165819.4985273057</x:v>
      </x:c>
      <x:c r="N9" s="316"/>
      <x:c r="O9" s="316"/>
      <x:c r="P9" s="316"/>
    </x:row>
    <x:row r="10" ht="18" customHeight="1">
      <x:c r="A10" s="270" t="str">
        <x:v>Sponsor revenue</x:v>
      </x:c>
      <x:c r="B10" s="807" t="n">
        <x:f>IF(Exec!$B$8="Participant-Day",B8*Exec!$D$21*(1+Exec!$D$22),Exec!$D$23*Exec!$D$24)</x:f>
        <x:v>351000</x:v>
      </x:c>
      <x:c r="C10" s="783" t="n">
        <x:f>IF(Exec!$B$8="Participant-Day",C8*Exec!$D$21*(1+Exec!$D$22),Exec!$D$23*Exec!$D$24)</x:f>
        <x:v>379080</x:v>
      </x:c>
      <x:c r="D10" s="783" t="n">
        <x:f>IF(Exec!$B$8="Participant-Day",D8*Exec!$D$21*(1+Exec!$D$22),Exec!$D$23*Exec!$D$24)</x:f>
        <x:v>409406.39999999997</x:v>
      </x:c>
      <x:c r="E10" s="783" t="n">
        <x:f>IF(Exec!$B$8="Participant-Day",E8*Exec!$D$21*(1+Exec!$D$22),Exec!$D$23*Exec!$D$24)</x:f>
        <x:v>442158.912</x:v>
      </x:c>
      <x:c r="F10" s="783" t="n">
        <x:f>IF(Exec!$B$8="Participant-Day",F8*Exec!$D$21*(1+Exec!$D$22),Exec!$D$23*Exec!$D$24)</x:f>
        <x:v>477531.62496000016</x:v>
      </x:c>
      <x:c r="G10" s="783" t="n">
        <x:f>IF(Exec!$B$8="Participant-Day",G8*Exec!$D$21*(1+Exec!$D$22),Exec!$D$23*Exec!$D$24)</x:f>
        <x:v>515734.15495680016</x:v>
      </x:c>
      <x:c r="H10" s="783" t="n">
        <x:f>IF(Exec!$B$8="Participant-Day",H8*Exec!$D$21*(1+Exec!$D$22),Exec!$D$23*Exec!$D$24)</x:f>
        <x:v>556992.8873533441</x:v>
      </x:c>
      <x:c r="I10" s="783" t="n">
        <x:f>IF(Exec!$B$8="Participant-Day",I8*Exec!$D$21*(1+Exec!$D$22),Exec!$D$23*Exec!$D$24)</x:f>
        <x:v>601552.3183416118</x:v>
      </x:c>
      <x:c r="J10" s="783" t="n">
        <x:f>IF(Exec!$B$8="Participant-Day",J8*Exec!$D$21*(1+Exec!$D$22),Exec!$D$23*Exec!$D$24)</x:f>
        <x:v>649676.5038089408</x:v>
      </x:c>
      <x:c r="K10" s="783" t="n">
        <x:f>IF(Exec!$B$8="Participant-Day",K8*Exec!$D$21*(1+Exec!$D$22),Exec!$D$23*Exec!$D$24)</x:f>
        <x:v>701650.6241136561</x:v>
      </x:c>
      <x:c r="L10" s="783" t="n">
        <x:f>IF(Exec!$B$8="Participant-Day",L8*Exec!$D$21*(1+Exec!$D$22),Exec!$D$23*Exec!$D$24)</x:f>
        <x:v>757782.6740427488</x:v>
      </x:c>
      <x:c r="M10" s="784" t="n">
        <x:f>IF(Exec!$B$8="Participant-Day",M8*Exec!$D$21*(1+Exec!$D$22),Exec!$D$23*Exec!$D$24)</x:f>
        <x:v>818405.2879661687</x:v>
      </x:c>
      <x:c r="N10" s="316"/>
      <x:c r="O10" s="316"/>
      <x:c r="P10" s="316"/>
    </x:row>
    <x:row r="11" ht="18" customHeight="1">
      <x:c r="A11" s="270" t="str">
        <x:v>Pro subscription gross</x:v>
      </x:c>
      <x:c r="B11" s="807" t="n">
        <x:f>B6*Exec!$D$32*Exec!$D$33</x:f>
        <x:v>124750</x:v>
      </x:c>
      <x:c r="C11" s="783" t="n">
        <x:f>C6*Exec!$D$32*Exec!$D$33</x:f>
        <x:v>134730</x:v>
      </x:c>
      <x:c r="D11" s="783" t="n">
        <x:f>D6*Exec!$D$32*Exec!$D$33</x:f>
        <x:v>145508.4</x:v>
      </x:c>
      <x:c r="E11" s="783" t="n">
        <x:f>E6*Exec!$D$32*Exec!$D$33</x:f>
        <x:v>157149.07200000001</x:v>
      </x:c>
      <x:c r="F11" s="783" t="n">
        <x:f>F6*Exec!$D$32*Exec!$D$33</x:f>
        <x:v>169720.99776000006</x:v>
      </x:c>
      <x:c r="G11" s="783" t="n">
        <x:f>G6*Exec!$D$32*Exec!$D$33</x:f>
        <x:v>183298.67758080008</x:v>
      </x:c>
      <x:c r="H11" s="783" t="n">
        <x:f>H6*Exec!$D$32*Exec!$D$33</x:f>
        <x:v>197962.57178726408</x:v>
      </x:c>
      <x:c r="I11" s="783" t="n">
        <x:f>I6*Exec!$D$32*Exec!$D$33</x:f>
        <x:v>213799.5775302452</x:v>
      </x:c>
      <x:c r="J11" s="783" t="n">
        <x:f>J6*Exec!$D$32*Exec!$D$33</x:f>
        <x:v>230903.54373266487</x:v>
      </x:c>
      <x:c r="K11" s="783" t="n">
        <x:f>K6*Exec!$D$32*Exec!$D$33</x:f>
        <x:v>249375.82723127806</x:v>
      </x:c>
      <x:c r="L11" s="783" t="n">
        <x:f>L6*Exec!$D$32*Exec!$D$33</x:f>
        <x:v>269325.89340978034</x:v>
      </x:c>
      <x:c r="M11" s="784" t="n">
        <x:f>M6*Exec!$D$32*Exec!$D$33</x:f>
        <x:v>290871.9648825628</x:v>
      </x:c>
      <x:c r="N11" s="316"/>
      <x:c r="O11" s="316"/>
      <x:c r="P11" s="316"/>
    </x:row>
    <x:row r="12" ht="18" customHeight="1">
      <x:c r="A12" s="270" t="str">
        <x:v>Consumable gross</x:v>
      </x:c>
      <x:c r="B12" s="807" t="n">
        <x:f>B6*Exec!$D$34*Exec!$D$35</x:f>
        <x:v>19900</x:v>
      </x:c>
      <x:c r="C12" s="783" t="n">
        <x:f>C6*Exec!$D$34*Exec!$D$35</x:f>
        <x:v>21492</x:v>
      </x:c>
      <x:c r="D12" s="783" t="n">
        <x:f>D6*Exec!$D$34*Exec!$D$35</x:f>
        <x:v>23211.36</x:v>
      </x:c>
      <x:c r="E12" s="783" t="n">
        <x:f>E6*Exec!$D$34*Exec!$D$35</x:f>
        <x:v>25068.2688</x:v>
      </x:c>
      <x:c r="F12" s="783" t="n">
        <x:f>F6*Exec!$D$34*Exec!$D$35</x:f>
        <x:v>27073.730304000004</x:v>
      </x:c>
      <x:c r="G12" s="783" t="n">
        <x:f>G6*Exec!$D$34*Exec!$D$35</x:f>
        <x:v>29239.628728320007</x:v>
      </x:c>
      <x:c r="H12" s="783" t="n">
        <x:f>H6*Exec!$D$34*Exec!$D$35</x:f>
        <x:v>31578.799026585613</x:v>
      </x:c>
      <x:c r="I12" s="783" t="n">
        <x:f>I6*Exec!$D$34*Exec!$D$35</x:f>
        <x:v>34105.10294871246</x:v>
      </x:c>
      <x:c r="J12" s="783" t="n">
        <x:f>J6*Exec!$D$34*Exec!$D$35</x:f>
        <x:v>36833.51118460946</x:v>
      </x:c>
      <x:c r="K12" s="783" t="n">
        <x:f>K6*Exec!$D$34*Exec!$D$35</x:f>
        <x:v>39780.19207937822</x:v>
      </x:c>
      <x:c r="L12" s="783" t="n">
        <x:f>L6*Exec!$D$34*Exec!$D$35</x:f>
        <x:v>42962.607445728485</x:v>
      </x:c>
      <x:c r="M12" s="784" t="n">
        <x:f>M6*Exec!$D$34*Exec!$D$35</x:f>
        <x:v>46399.61604138677</x:v>
      </x:c>
      <x:c r="N12" s="316"/>
      <x:c r="O12" s="316"/>
      <x:c r="P12" s="316"/>
    </x:row>
    <x:row r="13" ht="18" customHeight="1">
      <x:c r="A13" s="270" t="str">
        <x:v>Total gross revenue</x:v>
      </x:c>
      <x:c r="B13" s="808" t="n">
        <x:f>SUM(B9:B12)</x:f>
        <x:v>995650</x:v>
      </x:c>
      <x:c r="C13" s="673" t="n">
        <x:f>SUM(C9:C12)</x:f>
        <x:v>1075302</x:v>
      </x:c>
      <x:c r="D13" s="673" t="n">
        <x:f>SUM(D9:D12)</x:f>
        <x:v>1161326.16</x:v>
      </x:c>
      <x:c r="E13" s="673" t="n">
        <x:f>SUM(E9:E12)</x:f>
        <x:v>1254232.2528</x:v>
      </x:c>
      <x:c r="F13" s="673" t="n">
        <x:f>SUM(F9:F12)</x:f>
        <x:v>1354570.8330240003</x:v>
      </x:c>
      <x:c r="G13" s="673" t="n">
        <x:f>SUM(G9:G12)</x:f>
        <x:v>1462936.4996659206</x:v>
      </x:c>
      <x:c r="H13" s="673" t="n">
        <x:f>SUM(H9:H12)</x:f>
        <x:v>1579971.4196391944</x:v>
      </x:c>
      <x:c r="I13" s="673" t="n">
        <x:f>SUM(I9:I12)</x:f>
        <x:v>1706369.1332103298</x:v>
      </x:c>
      <x:c r="J13" s="673" t="n">
        <x:f>SUM(J9:J12)</x:f>
        <x:v>1842878.6638671563</x:v>
      </x:c>
      <x:c r="K13" s="673" t="n">
        <x:f>SUM(K9:K12)</x:f>
        <x:v>1990308.9569765292</x:v>
      </x:c>
      <x:c r="L13" s="673" t="n">
        <x:f>SUM(L9:L12)</x:f>
        <x:v>2149533.6735346518</x:v>
      </x:c>
      <x:c r="M13" s="809" t="n">
        <x:f>SUM(M9:M12)</x:f>
        <x:v>2321496.367417424</x:v>
      </x:c>
      <x:c r="N13" s="316"/>
      <x:c r="O13" s="316"/>
      <x:c r="P13" s="316"/>
    </x:row>
    <x:row r="14" ht="18" customHeight="1">
      <x:c r="A14" s="270" t="str">
        <x:v>Completion rebates</x:v>
      </x:c>
      <x:c r="B14" s="807" t="n">
        <x:f>B7*Exec!$D$15*Exec!$D$19</x:f>
        <x:v>180000</x:v>
      </x:c>
      <x:c r="C14" s="783" t="n">
        <x:f>C7*Exec!$D$15*Exec!$D$19</x:f>
        <x:v>194400</x:v>
      </x:c>
      <x:c r="D14" s="783" t="n">
        <x:f>D7*Exec!$D$15*Exec!$D$19</x:f>
        <x:v>209952</x:v>
      </x:c>
      <x:c r="E14" s="783" t="n">
        <x:f>E7*Exec!$D$15*Exec!$D$19</x:f>
        <x:v>226748.16</x:v>
      </x:c>
      <x:c r="F14" s="783" t="n">
        <x:f>F7*Exec!$D$15*Exec!$D$19</x:f>
        <x:v>244888.01280000003</x:v>
      </x:c>
      <x:c r="G14" s="783" t="n">
        <x:f>G7*Exec!$D$15*Exec!$D$19</x:f>
        <x:v>264479.05382400006</x:v>
      </x:c>
      <x:c r="H14" s="783" t="n">
        <x:f>H7*Exec!$D$15*Exec!$D$19</x:f>
        <x:v>285637.3781299201</x:v>
      </x:c>
      <x:c r="I14" s="783" t="n">
        <x:f>I7*Exec!$D$15*Exec!$D$19</x:f>
        <x:v>308488.36838031374</x:v>
      </x:c>
      <x:c r="J14" s="783" t="n">
        <x:f>J7*Exec!$D$15*Exec!$D$19</x:f>
        <x:v>333167.4378507389</x:v>
      </x:c>
      <x:c r="K14" s="783" t="n">
        <x:f>K7*Exec!$D$15*Exec!$D$19</x:f>
        <x:v>359820.83287879796</x:v>
      </x:c>
      <x:c r="L14" s="783" t="n">
        <x:f>L7*Exec!$D$15*Exec!$D$19</x:f>
        <x:v>388606.49950910185</x:v>
      </x:c>
      <x:c r="M14" s="784" t="n">
        <x:f>M7*Exec!$D$15*Exec!$D$19</x:f>
        <x:v>419695.01946983003</x:v>
      </x:c>
      <x:c r="N14" s="316"/>
      <x:c r="O14" s="316"/>
      <x:c r="P14" s="316"/>
    </x:row>
    <x:row r="15" ht="18" customHeight="1">
      <x:c r="A15" s="270" t="str">
        <x:v>Payment processing / support</x:v>
      </x:c>
      <x:c r="B15" s="807" t="n">
        <x:f>B7*Exec!$D$20+B9*Exec!$D$25</x:f>
        <x:v>80000</x:v>
      </x:c>
      <x:c r="C15" s="783" t="n">
        <x:f>C7*Exec!$D$20+C9*Exec!$D$25</x:f>
        <x:v>86400</x:v>
      </x:c>
      <x:c r="D15" s="783" t="n">
        <x:f>D7*Exec!$D$20+D9*Exec!$D$25</x:f>
        <x:v>93312</x:v>
      </x:c>
      <x:c r="E15" s="783" t="n">
        <x:f>E7*Exec!$D$20+E9*Exec!$D$25</x:f>
        <x:v>100776.96</x:v>
      </x:c>
      <x:c r="F15" s="783" t="n">
        <x:f>F7*Exec!$D$20+F9*Exec!$D$25</x:f>
        <x:v>108839.11680000002</x:v>
      </x:c>
      <x:c r="G15" s="783" t="n">
        <x:f>G7*Exec!$D$20+G9*Exec!$D$25</x:f>
        <x:v>117546.24614400003</x:v>
      </x:c>
      <x:c r="H15" s="783" t="n">
        <x:f>H7*Exec!$D$20+H9*Exec!$D$25</x:f>
        <x:v>126949.94583552005</x:v>
      </x:c>
      <x:c r="I15" s="783" t="n">
        <x:f>I7*Exec!$D$20+I9*Exec!$D$25</x:f>
        <x:v>137105.94150236165</x:v>
      </x:c>
      <x:c r="J15" s="783" t="n">
        <x:f>J7*Exec!$D$20+J9*Exec!$D$25</x:f>
        <x:v>148074.41682255061</x:v>
      </x:c>
      <x:c r="K15" s="783" t="n">
        <x:f>K7*Exec!$D$20+K9*Exec!$D$25</x:f>
        <x:v>159920.37016835465</x:v>
      </x:c>
      <x:c r="L15" s="783" t="n">
        <x:f>L7*Exec!$D$20+L9*Exec!$D$25</x:f>
        <x:v>172713.99978182308</x:v>
      </x:c>
      <x:c r="M15" s="784" t="n">
        <x:f>M7*Exec!$D$20+M9*Exec!$D$25</x:f>
        <x:v>186531.11976436892</x:v>
      </x:c>
      <x:c r="N15" s="316"/>
      <x:c r="O15" s="316"/>
      <x:c r="P15" s="316"/>
    </x:row>
    <x:row r="16" ht="18" customHeight="1">
      <x:c r="A16" s="270" t="str">
        <x:v>App Store / platform fees</x:v>
      </x:c>
      <x:c r="B16" s="807" t="n">
        <x:f>(B11+B12)*Exec!$D$26</x:f>
        <x:v>21697.5</x:v>
      </x:c>
      <x:c r="C16" s="783" t="n">
        <x:f>(C11+C12)*Exec!$D$26</x:f>
        <x:v>23433.3</x:v>
      </x:c>
      <x:c r="D16" s="783" t="n">
        <x:f>(D11+D12)*Exec!$D$26</x:f>
        <x:v>25307.964</x:v>
      </x:c>
      <x:c r="E16" s="783" t="n">
        <x:f>(E11+E12)*Exec!$D$26</x:f>
        <x:v>27332.60112</x:v>
      </x:c>
      <x:c r="F16" s="783" t="n">
        <x:f>(F11+F12)*Exec!$D$26</x:f>
        <x:v>29519.209209600005</x:v>
      </x:c>
      <x:c r="G16" s="783" t="n">
        <x:f>(G11+G12)*Exec!$D$26</x:f>
        <x:v>31880.745946368013</x:v>
      </x:c>
      <x:c r="H16" s="783" t="n">
        <x:f>(H11+H12)*Exec!$D$26</x:f>
        <x:v>34431.205622077454</x:v>
      </x:c>
      <x:c r="I16" s="783" t="n">
        <x:f>(I11+I12)*Exec!$D$26</x:f>
        <x:v>37185.70207184365</x:v>
      </x:c>
      <x:c r="J16" s="783" t="n">
        <x:f>(J11+J12)*Exec!$D$26</x:f>
        <x:v>40160.55823759115</x:v>
      </x:c>
      <x:c r="K16" s="783" t="n">
        <x:f>(K11+K12)*Exec!$D$26</x:f>
        <x:v>43373.40289659844</x:v>
      </x:c>
      <x:c r="L16" s="783" t="n">
        <x:f>(L11+L12)*Exec!$D$26</x:f>
        <x:v>46843.27512832633</x:v>
      </x:c>
      <x:c r="M16" s="784" t="n">
        <x:f>(M11+M12)*Exec!$D$26</x:f>
        <x:v>50590.73713859244</x:v>
      </x:c>
      <x:c r="N16" s="316"/>
      <x:c r="O16" s="316"/>
      <x:c r="P16" s="316"/>
    </x:row>
    <x:row r="17" ht="18" customHeight="1">
      <x:c r="A17" s="270" t="str">
        <x:v>Server / infra</x:v>
      </x:c>
      <x:c r="B17" s="807" t="n">
        <x:f>B6*Exec!$D$27</x:f>
        <x:v>15000</x:v>
      </x:c>
      <x:c r="C17" s="783" t="n">
        <x:f>C6*Exec!$D$27</x:f>
        <x:v>16200</x:v>
      </x:c>
      <x:c r="D17" s="783" t="n">
        <x:f>D6*Exec!$D$27</x:f>
        <x:v>17496</x:v>
      </x:c>
      <x:c r="E17" s="783" t="n">
        <x:f>E6*Exec!$D$27</x:f>
        <x:v>18895.68</x:v>
      </x:c>
      <x:c r="F17" s="783" t="n">
        <x:f>F6*Exec!$D$27</x:f>
        <x:v>20407.334400000003</x:v>
      </x:c>
      <x:c r="G17" s="783" t="n">
        <x:f>G6*Exec!$D$27</x:f>
        <x:v>22039.921152000006</x:v>
      </x:c>
      <x:c r="H17" s="783" t="n">
        <x:f>H6*Exec!$D$27</x:f>
        <x:v>23803.11484416001</x:v>
      </x:c>
      <x:c r="I17" s="783" t="n">
        <x:f>I6*Exec!$D$27</x:f>
        <x:v>25707.36403169281</x:v>
      </x:c>
      <x:c r="J17" s="783" t="n">
        <x:f>J6*Exec!$D$27</x:f>
        <x:v>27763.953154228235</x:v>
      </x:c>
      <x:c r="K17" s="783" t="n">
        <x:f>K6*Exec!$D$27</x:f>
        <x:v>29985.069406566497</x:v>
      </x:c>
      <x:c r="L17" s="783" t="n">
        <x:f>L6*Exec!$D$27</x:f>
        <x:v>32383.87495909182</x:v>
      </x:c>
      <x:c r="M17" s="784" t="n">
        <x:f>M6*Exec!$D$27</x:f>
        <x:v>34974.58495581917</x:v>
      </x:c>
      <x:c r="N17" s="316"/>
      <x:c r="O17" s="316"/>
      <x:c r="P17" s="316"/>
    </x:row>
    <x:row r="18" ht="18" customHeight="1">
      <x:c r="A18" s="270" t="str">
        <x:v>Fixed ops / tools</x:v>
      </x:c>
      <x:c r="B18" s="807" t="n">
        <x:f>Exec!$D$28</x:f>
        <x:v>6000</x:v>
      </x:c>
      <x:c r="C18" s="783" t="n">
        <x:f>Exec!$D$28</x:f>
        <x:v>6000</x:v>
      </x:c>
      <x:c r="D18" s="783" t="n">
        <x:f>Exec!$D$28</x:f>
        <x:v>6000</x:v>
      </x:c>
      <x:c r="E18" s="783" t="n">
        <x:f>Exec!$D$28</x:f>
        <x:v>6000</x:v>
      </x:c>
      <x:c r="F18" s="783" t="n">
        <x:f>Exec!$D$28</x:f>
        <x:v>6000</x:v>
      </x:c>
      <x:c r="G18" s="783" t="n">
        <x:f>Exec!$D$28</x:f>
        <x:v>6000</x:v>
      </x:c>
      <x:c r="H18" s="783" t="n">
        <x:f>Exec!$D$28</x:f>
        <x:v>6000</x:v>
      </x:c>
      <x:c r="I18" s="783" t="n">
        <x:f>Exec!$D$28</x:f>
        <x:v>6000</x:v>
      </x:c>
      <x:c r="J18" s="783" t="n">
        <x:f>Exec!$D$28</x:f>
        <x:v>6000</x:v>
      </x:c>
      <x:c r="K18" s="783" t="n">
        <x:f>Exec!$D$28</x:f>
        <x:v>6000</x:v>
      </x:c>
      <x:c r="L18" s="783" t="n">
        <x:f>Exec!$D$28</x:f>
        <x:v>6000</x:v>
      </x:c>
      <x:c r="M18" s="784" t="n">
        <x:f>Exec!$D$28</x:f>
        <x:v>6000</x:v>
      </x:c>
      <x:c r="N18" s="316"/>
      <x:c r="O18" s="316"/>
      <x:c r="P18" s="316"/>
    </x:row>
    <x:row r="19" ht="18" customHeight="1">
      <x:c r="A19" s="270" t="str">
        <x:v>UGC / creator budget</x:v>
      </x:c>
      <x:c r="B19" s="807" t="n">
        <x:f>Exec!$D$29</x:f>
        <x:v>10000</x:v>
      </x:c>
      <x:c r="C19" s="783" t="n">
        <x:f>Exec!$D$29</x:f>
        <x:v>10000</x:v>
      </x:c>
      <x:c r="D19" s="783" t="n">
        <x:f>Exec!$D$29</x:f>
        <x:v>10000</x:v>
      </x:c>
      <x:c r="E19" s="783" t="n">
        <x:f>Exec!$D$29</x:f>
        <x:v>10000</x:v>
      </x:c>
      <x:c r="F19" s="783" t="n">
        <x:f>Exec!$D$29</x:f>
        <x:v>10000</x:v>
      </x:c>
      <x:c r="G19" s="783" t="n">
        <x:f>Exec!$D$29</x:f>
        <x:v>10000</x:v>
      </x:c>
      <x:c r="H19" s="783" t="n">
        <x:f>Exec!$D$29</x:f>
        <x:v>10000</x:v>
      </x:c>
      <x:c r="I19" s="783" t="n">
        <x:f>Exec!$D$29</x:f>
        <x:v>10000</x:v>
      </x:c>
      <x:c r="J19" s="783" t="n">
        <x:f>Exec!$D$29</x:f>
        <x:v>10000</x:v>
      </x:c>
      <x:c r="K19" s="783" t="n">
        <x:f>Exec!$D$29</x:f>
        <x:v>10000</x:v>
      </x:c>
      <x:c r="L19" s="783" t="n">
        <x:f>Exec!$D$29</x:f>
        <x:v>10000</x:v>
      </x:c>
      <x:c r="M19" s="784" t="n">
        <x:f>Exec!$D$29</x:f>
        <x:v>10000</x:v>
      </x:c>
      <x:c r="N19" s="316"/>
      <x:c r="O19" s="316"/>
      <x:c r="P19" s="316"/>
    </x:row>
    <x:row r="20" ht="18" customHeight="1">
      <x:c r="A20" s="270" t="str">
        <x:v>Legal / admin</x:v>
      </x:c>
      <x:c r="B20" s="807" t="n">
        <x:f>Exec!$D$30</x:f>
        <x:v>5000</x:v>
      </x:c>
      <x:c r="C20" s="783" t="n">
        <x:f>Exec!$D$30</x:f>
        <x:v>5000</x:v>
      </x:c>
      <x:c r="D20" s="783" t="n">
        <x:f>Exec!$D$30</x:f>
        <x:v>5000</x:v>
      </x:c>
      <x:c r="E20" s="783" t="n">
        <x:f>Exec!$D$30</x:f>
        <x:v>5000</x:v>
      </x:c>
      <x:c r="F20" s="783" t="n">
        <x:f>Exec!$D$30</x:f>
        <x:v>5000</x:v>
      </x:c>
      <x:c r="G20" s="783" t="n">
        <x:f>Exec!$D$30</x:f>
        <x:v>5000</x:v>
      </x:c>
      <x:c r="H20" s="783" t="n">
        <x:f>Exec!$D$30</x:f>
        <x:v>5000</x:v>
      </x:c>
      <x:c r="I20" s="783" t="n">
        <x:f>Exec!$D$30</x:f>
        <x:v>5000</x:v>
      </x:c>
      <x:c r="J20" s="783" t="n">
        <x:f>Exec!$D$30</x:f>
        <x:v>5000</x:v>
      </x:c>
      <x:c r="K20" s="783" t="n">
        <x:f>Exec!$D$30</x:f>
        <x:v>5000</x:v>
      </x:c>
      <x:c r="L20" s="783" t="n">
        <x:f>Exec!$D$30</x:f>
        <x:v>5000</x:v>
      </x:c>
      <x:c r="M20" s="784" t="n">
        <x:f>Exec!$D$30</x:f>
        <x:v>5000</x:v>
      </x:c>
      <x:c r="N20" s="316"/>
      <x:c r="O20" s="316"/>
      <x:c r="P20" s="316"/>
    </x:row>
    <x:row r="21" ht="18" customHeight="1">
      <x:c r="A21" s="270" t="str">
        <x:v>Founder payroll / draw</x:v>
      </x:c>
      <x:c r="B21" s="807" t="n">
        <x:f>Exec!$D$31</x:f>
        <x:v>0</x:v>
      </x:c>
      <x:c r="C21" s="783" t="n">
        <x:f>Exec!$D$31</x:f>
        <x:v>0</x:v>
      </x:c>
      <x:c r="D21" s="783" t="n">
        <x:f>Exec!$D$31</x:f>
        <x:v>0</x:v>
      </x:c>
      <x:c r="E21" s="783" t="n">
        <x:f>Exec!$D$31</x:f>
        <x:v>0</x:v>
      </x:c>
      <x:c r="F21" s="783" t="n">
        <x:f>Exec!$D$31</x:f>
        <x:v>0</x:v>
      </x:c>
      <x:c r="G21" s="783" t="n">
        <x:f>Exec!$D$31</x:f>
        <x:v>0</x:v>
      </x:c>
      <x:c r="H21" s="783" t="n">
        <x:f>Exec!$D$31</x:f>
        <x:v>0</x:v>
      </x:c>
      <x:c r="I21" s="783" t="n">
        <x:f>Exec!$D$31</x:f>
        <x:v>0</x:v>
      </x:c>
      <x:c r="J21" s="783" t="n">
        <x:f>Exec!$D$31</x:f>
        <x:v>0</x:v>
      </x:c>
      <x:c r="K21" s="783" t="n">
        <x:f>Exec!$D$31</x:f>
        <x:v>0</x:v>
      </x:c>
      <x:c r="L21" s="783" t="n">
        <x:f>Exec!$D$31</x:f>
        <x:v>0</x:v>
      </x:c>
      <x:c r="M21" s="784" t="n">
        <x:f>Exec!$D$31</x:f>
        <x:v>0</x:v>
      </x:c>
      <x:c r="N21" s="316"/>
      <x:c r="O21" s="316"/>
      <x:c r="P21" s="316"/>
    </x:row>
    <x:row r="22" ht="18" customHeight="1">
      <x:c r="A22" s="270" t="str">
        <x:v>Total operating costs</x:v>
      </x:c>
      <x:c r="B22" s="807" t="n">
        <x:f>SUM(B14:B21)</x:f>
        <x:v>317697.5</x:v>
      </x:c>
      <x:c r="C22" s="783" t="n">
        <x:f>SUM(C14:C21)</x:f>
        <x:v>341433.3</x:v>
      </x:c>
      <x:c r="D22" s="783" t="n">
        <x:f>SUM(D14:D21)</x:f>
        <x:v>367067.964</x:v>
      </x:c>
      <x:c r="E22" s="783" t="n">
        <x:f>SUM(E14:E21)</x:f>
        <x:v>394753.40112</x:v>
      </x:c>
      <x:c r="F22" s="783" t="n">
        <x:f>SUM(F14:F21)</x:f>
        <x:v>424653.67320960003</x:v>
      </x:c>
      <x:c r="G22" s="783" t="n">
        <x:f>SUM(G14:G21)</x:f>
        <x:v>456945.96706636815</x:v>
      </x:c>
      <x:c r="H22" s="783" t="n">
        <x:f>SUM(H14:H21)</x:f>
        <x:v>491821.64443167765</x:v>
      </x:c>
      <x:c r="I22" s="783" t="n">
        <x:f>SUM(I14:I21)</x:f>
        <x:v>529487.3759862119</x:v>
      </x:c>
      <x:c r="J22" s="783" t="n">
        <x:f>SUM(J14:J21)</x:f>
        <x:v>570166.3660651089</x:v>
      </x:c>
      <x:c r="K22" s="783" t="n">
        <x:f>SUM(K14:K21)</x:f>
        <x:v>614099.6753503175</x:v>
      </x:c>
      <x:c r="L22" s="783" t="n">
        <x:f>SUM(L14:L21)</x:f>
        <x:v>661547.6493783431</x:v>
      </x:c>
      <x:c r="M22" s="784" t="n">
        <x:f>SUM(M14:M21)</x:f>
        <x:v>712791.4613286105</x:v>
      </x:c>
      <x:c r="N22" s="316"/>
      <x:c r="O22" s="316"/>
      <x:c r="P22" s="316"/>
    </x:row>
    <x:row r="23" ht="18" customHeight="1">
      <x:c r="A23" s="270" t="str">
        <x:v>Operating profit</x:v>
      </x:c>
      <x:c r="B23" s="810" t="n">
        <x:f>B13-B22</x:f>
        <x:v>677952.5</x:v>
      </x:c>
      <x:c r="C23" s="679" t="n">
        <x:f>C13-C22</x:f>
        <x:v>733868.7</x:v>
      </x:c>
      <x:c r="D23" s="679" t="n">
        <x:f>D13-D22</x:f>
        <x:v>794258.196</x:v>
      </x:c>
      <x:c r="E23" s="679" t="n">
        <x:f>E13-E22</x:f>
        <x:v>859478.8516799998</x:v>
      </x:c>
      <x:c r="F23" s="679" t="n">
        <x:f>F13-F22</x:f>
        <x:v>929917.1598144002</x:v>
      </x:c>
      <x:c r="G23" s="679" t="n">
        <x:f>G13-G22</x:f>
        <x:v>1005990.5325995525</x:v>
      </x:c>
      <x:c r="H23" s="679" t="n">
        <x:f>H13-H22</x:f>
        <x:v>1088149.7752075167</x:v>
      </x:c>
      <x:c r="I23" s="679" t="n">
        <x:f>I13-I22</x:f>
        <x:v>1176881.7572241179</x:v>
      </x:c>
      <x:c r="J23" s="679" t="n">
        <x:f>J13-J22</x:f>
        <x:v>1272712.2978020473</x:v>
      </x:c>
      <x:c r="K23" s="679" t="n">
        <x:f>K13-K22</x:f>
        <x:v>1376209.2816262117</x:v>
      </x:c>
      <x:c r="L23" s="679" t="n">
        <x:f>L13-L22</x:f>
        <x:v>1487986.0241563087</x:v>
      </x:c>
      <x:c r="M23" s="811" t="n">
        <x:f>M13-M22</x:f>
        <x:v>1608704.9060888134</x:v>
      </x:c>
      <x:c r="N23" s="316"/>
      <x:c r="O23" s="316"/>
      <x:c r="P23" s="316"/>
    </x:row>
    <x:row r="24" ht="18" customHeight="1">
      <x:c r="A24" s="273" t="str">
        <x:v>Operating margin</x:v>
      </x:c>
      <x:c r="B24" s="812" t="n">
        <x:f>IFERROR(B23/B13,0)</x:f>
        <x:v>0.6809144779792096</x:v>
      </x:c>
      <x:c r="C24" s="813" t="n">
        <x:f>IFERROR(C23/C13,0)</x:f>
        <x:v>0.6824768297650334</x:v>
      </x:c>
      <x:c r="D24" s="813" t="n">
        <x:f>IFERROR(D23/D13,0)</x:f>
        <x:v>0.6839234517889445</x:v>
      </x:c>
      <x:c r="E24" s="813" t="n">
        <x:f>IFERROR(E23/E13,0)</x:f>
        <x:v>0.685262916625899</x:v>
      </x:c>
      <x:c r="F24" s="813" t="n">
        <x:f>IFERROR(F23/F13,0)</x:f>
        <x:v>0.6865031618453016</x:v>
      </x:c>
      <x:c r="G24" s="813" t="n">
        <x:f>IFERROR(G23/G13,0)</x:f>
        <x:v>0.687651537048452</x:v>
      </x:c>
      <x:c r="H24" s="813" t="n">
        <x:f>IFERROR(H23/H13,0)</x:f>
        <x:v>0.6887148474217394</x:v>
      </x:c>
      <x:c r="I24" s="813" t="n">
        <x:f>IFERROR(I23/I13,0)</x:f>
        <x:v>0.6896993940636721</x:v>
      </x:c>
      <x:c r="J24" s="813" t="n">
        <x:f>IFERROR(J23/J13,0)</x:f>
        <x:v>0.690611011324721</x:v>
      </x:c>
      <x:c r="K24" s="813" t="n">
        <x:f>IFERROR(K23/K13,0)</x:f>
        <x:v>0.6914551013812479</x:v>
      </x:c>
      <x:c r="L24" s="813" t="n">
        <x:f>IFERROR(L23/L13,0)</x:f>
        <x:v>0.6922366662484022</x:v>
      </x:c>
      <x:c r="M24" s="814" t="n">
        <x:f>IFERROR(M23/M13,0)</x:f>
        <x:v>0.6929603374216933</x:v>
      </x:c>
      <x:c r="N24" s="316"/>
      <x:c r="O24" s="316"/>
      <x:c r="P24" s="316"/>
    </x:row>
  </x:sheetData>
  <x:mergeCells>
    <x:mergeCell ref="A1:M1"/>
    <x:mergeCell ref="A2:M2"/>
    <x:mergeCell ref="A4:P4"/>
  </x:mergeCells>
  <x:pageMargins left="0.7" right="0.7" top="0.75" bottom="0.75" header="0.3" footer="0.3"/>
  <x:drawing xmlns:r="http://schemas.openxmlformats.org/officeDocument/2006/relationships" r:id="R2c73c7b5680b4ba4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6000061035156" hidden="0" customWidth="1"/>
    <x:col min="2" max="2" width="47.86000061035156" hidden="0" customWidth="1"/>
    <x:col min="3" max="3" width="17.860000610351562" hidden="0" customWidth="1"/>
    <x:col min="4" max="4" width="17.860000610351562" hidden="0" customWidth="1"/>
    <x:col min="5" max="5" width="17.860000610351562" hidden="0" customWidth="1"/>
    <x:col min="6" max="6" width="20" hidden="0" customWidth="1"/>
    <x:col min="7" max="7" width="55" hidden="0" customWidth="1"/>
  </x:cols>
  <x:sheetData>
    <x:row r="1" ht="25.5" customHeight="1">
      <x:c r="A1" s="1310" t="str">
        <x:v>Cost Model</x:v>
      </x:c>
      <x:c r="B1" s="1310"/>
      <x:c r="C1" s="1310"/>
      <x:c r="D1" s="1310"/>
      <x:c r="E1" s="697"/>
      <x:c r="F1" s="697"/>
      <x:c r="G1" s="697"/>
      <x:c r="H1" s="697"/>
      <x:c r="I1" s="697"/>
      <x:c r="J1" s="698"/>
      <x:c r="K1" s="698"/>
      <x:c r="L1" s="698"/>
      <x:c r="M1" s="698"/>
      <x:c r="N1" s="698"/>
      <x:c r="O1" s="698"/>
      <x:c r="P1" s="698"/>
      <x:c r="Q1" s="698"/>
      <x:c r="R1" s="698"/>
      <x:c r="S1" s="698"/>
      <x:c r="T1" s="698"/>
      <x:c r="U1" s="698"/>
      <x:c r="V1" s="698"/>
      <x:c r="W1" s="698"/>
      <x:c r="X1" s="698"/>
      <x:c r="Y1" s="698"/>
      <x:c r="Z1" s="698"/>
    </x:row>
    <x:row r="2" ht="30" customHeight="1">
      <x:c r="A2" s="1312" t="str">
        <x:v>No employees are assumed. Founder payroll/draw defaults to $0 but can be overridden on Exec.</x:v>
      </x:c>
      <x:c r="B2" s="1312"/>
      <x:c r="C2" s="1312"/>
      <x:c r="D2" s="1312"/>
      <x:c r="E2" s="938"/>
      <x:c r="F2" s="938"/>
      <x:c r="G2" s="938"/>
      <x:c r="H2" s="938"/>
      <x:c r="I2" s="938"/>
      <x:c r="J2" s="939"/>
      <x:c r="K2" s="939"/>
      <x:c r="L2" s="939"/>
      <x:c r="M2" s="939"/>
      <x:c r="N2" s="939"/>
      <x:c r="O2" s="939"/>
      <x:c r="P2" s="939"/>
      <x:c r="Q2" s="939"/>
      <x:c r="R2" s="939"/>
      <x:c r="S2" s="939"/>
      <x:c r="T2" s="939"/>
      <x:c r="U2" s="939"/>
      <x:c r="V2" s="939"/>
      <x:c r="W2" s="939"/>
      <x:c r="X2" s="939"/>
      <x:c r="Y2" s="939"/>
      <x:c r="Z2" s="939"/>
    </x:row>
    <x:row r="3">
      <x:c r="A3" s="700"/>
      <x:c r="B3" s="700"/>
      <x:c r="C3" s="700"/>
      <x:c r="D3" s="700"/>
      <x:c r="E3" s="700"/>
      <x:c r="F3" s="700"/>
      <x:c r="G3" s="700"/>
      <x:c r="H3" s="700"/>
      <x:c r="I3" s="700"/>
      <x:c r="J3" s="698"/>
      <x:c r="K3" s="698"/>
      <x:c r="L3" s="698"/>
      <x:c r="M3" s="698"/>
      <x:c r="N3" s="698"/>
      <x:c r="O3" s="698"/>
      <x:c r="P3" s="698"/>
      <x:c r="Q3" s="698"/>
      <x:c r="R3" s="698"/>
      <x:c r="S3" s="698"/>
      <x:c r="T3" s="698"/>
      <x:c r="U3" s="698"/>
      <x:c r="V3" s="698"/>
      <x:c r="W3" s="698"/>
      <x:c r="X3" s="698"/>
      <x:c r="Y3" s="698"/>
      <x:c r="Z3" s="698"/>
    </x:row>
    <x:row r="4">
      <x:c r="A4" s="1315" t="str">
        <x:v>Monthly Cost Build</x:v>
      </x:c>
      <x:c r="B4" s="1315"/>
      <x:c r="C4" s="1315"/>
      <x:c r="D4" s="1315"/>
      <x:c r="E4" s="1315"/>
      <x:c r="F4" s="1315"/>
      <x:c r="G4" s="1315"/>
      <x:c r="H4" s="1315"/>
      <x:c r="I4" s="1315"/>
    </x:row>
    <x:row r="5" ht="25.5" customHeight="1">
      <x:c r="A5" s="1318" t="str">
        <x:v>Cost Line</x:v>
      </x:c>
      <x:c r="B5" s="1319" t="str">
        <x:v>Driver</x:v>
      </x:c>
      <x:c r="C5" s="1319" t="str">
        <x:v>Monthly Cost</x:v>
      </x:c>
      <x:c r="D5" s="1319" t="str">
        <x:v>Annual Cost</x:v>
      </x:c>
      <x:c r="E5" s="1319" t="str">
        <x:v>Variable / Fixed</x:v>
      </x:c>
      <x:c r="F5" s="1319" t="str">
        <x:v>Included In Profit?</x:v>
      </x:c>
      <x:c r="G5" s="1316" t="str">
        <x:v>Notes</x:v>
      </x:c>
      <x:c r="H5" s="316"/>
      <x:c r="I5" s="316"/>
    </x:row>
    <x:row r="6" ht="28.5" customHeight="1">
      <x:c r="A6" s="1320" t="str">
        <x:v>Completion rebates</x:v>
      </x:c>
      <x:c r="B6" s="1321" t="str">
        <x:v>Entrants x completion rate x rebate</x:v>
      </x:c>
      <x:c r="C6" s="1322" t="n">
        <x:f>Exec!B47</x:f>
        <x:v>180000</x:v>
      </x:c>
      <x:c r="D6" s="1323" t="n">
        <x:f>C6*12</x:f>
        <x:v>2160000</x:v>
      </x:c>
      <x:c r="E6" s="1043" t="str">
        <x:v>Variable</x:v>
      </x:c>
      <x:c r="F6" s="1043" t="str">
        <x:v>Yes</x:v>
      </x:c>
      <x:c r="G6" s="1034" t="str">
        <x:v>Reward money returned to successful challenge users.</x:v>
      </x:c>
      <x:c r="H6" s="316"/>
      <x:c r="I6" s="316"/>
    </x:row>
    <x:row r="7" ht="28.5" customHeight="1">
      <x:c r="A7" s="1324" t="str">
        <x:v>Payment processing / support reserve</x:v>
      </x:c>
      <x:c r="B7" s="1325" t="str">
        <x:v>Per entrant reserve + % of commitment gross</x:v>
      </x:c>
      <x:c r="C7" s="1326" t="n">
        <x:f>Exec!B48</x:f>
        <x:v>80000</x:v>
      </x:c>
      <x:c r="D7" s="1327" t="n">
        <x:f>C7*12</x:f>
        <x:v>960000</x:v>
      </x:c>
      <x:c r="E7" s="1044" t="str">
        <x:v>Variable</x:v>
      </x:c>
      <x:c r="F7" s="1044" t="str">
        <x:v>Yes</x:v>
      </x:c>
      <x:c r="G7" s="1035" t="str">
        <x:v>Blends card fees, chargeback reserve, payout support.</x:v>
      </x:c>
      <x:c r="H7" s="316"/>
      <x:c r="I7" s="316"/>
    </x:row>
    <x:row r="8" ht="28.5" customHeight="1">
      <x:c r="A8" s="1324" t="str">
        <x:v>App Store / platform fees</x:v>
      </x:c>
      <x:c r="B8" s="1325" t="str">
        <x:v>Pro + consumable gross x app store fee</x:v>
      </x:c>
      <x:c r="C8" s="1326" t="n">
        <x:f>Exec!B49</x:f>
        <x:v>21697.5</x:v>
      </x:c>
      <x:c r="D8" s="1327" t="n">
        <x:f>C8*12</x:f>
        <x:v>260370</x:v>
      </x:c>
      <x:c r="E8" s="1044" t="str">
        <x:v>Variable</x:v>
      </x:c>
      <x:c r="F8" s="1044" t="str">
        <x:v>Yes</x:v>
      </x:c>
      <x:c r="G8" s="1035" t="str">
        <x:v>Assumes IAP fee on subscription and consumables.</x:v>
      </x:c>
      <x:c r="H8" s="316"/>
      <x:c r="I8" s="316"/>
    </x:row>
    <x:row r="9" ht="28.5" customHeight="1">
      <x:c r="A9" s="1324" t="str">
        <x:v>Server / infra</x:v>
      </x:c>
      <x:c r="B9" s="1325" t="str">
        <x:v>MAU x server cost / MAU</x:v>
      </x:c>
      <x:c r="C9" s="1326" t="n">
        <x:f>Exec!B50</x:f>
        <x:v>15000</x:v>
      </x:c>
      <x:c r="D9" s="1327" t="n">
        <x:f>C9*12</x:f>
        <x:v>180000</x:v>
      </x:c>
      <x:c r="E9" s="1044" t="str">
        <x:v>Variable</x:v>
      </x:c>
      <x:c r="F9" s="1044" t="str">
        <x:v>Yes</x:v>
      </x:c>
      <x:c r="G9" s="1035" t="str">
        <x:v>Cloud DB, storage, edge functions, notifications.</x:v>
      </x:c>
      <x:c r="H9" s="316"/>
      <x:c r="I9" s="316"/>
    </x:row>
    <x:row r="10" ht="28.5" customHeight="1">
      <x:c r="A10" s="1324" t="str">
        <x:v>Fixed ops / tools</x:v>
      </x:c>
      <x:c r="B10" s="1325" t="str">
        <x:v>Editable fixed monthly ops</x:v>
      </x:c>
      <x:c r="C10" s="1326" t="n">
        <x:f>Exec!B51</x:f>
        <x:v>6000</x:v>
      </x:c>
      <x:c r="D10" s="1327" t="n">
        <x:f>C10*12</x:f>
        <x:v>72000</x:v>
      </x:c>
      <x:c r="E10" s="1044" t="str">
        <x:v>Fixed</x:v>
      </x:c>
      <x:c r="F10" s="1044" t="str">
        <x:v>Yes</x:v>
      </x:c>
      <x:c r="G10" s="1035" t="str">
        <x:v>Analytics, monitoring, email, design/tools.</x:v>
      </x:c>
      <x:c r="H10" s="316"/>
      <x:c r="I10" s="316"/>
    </x:row>
    <x:row r="11" ht="28.5" customHeight="1">
      <x:c r="A11" s="1324" t="str">
        <x:v>UGC / creator budget</x:v>
      </x:c>
      <x:c r="B11" s="1325" t="str">
        <x:v>Editable monthly content budget</x:v>
      </x:c>
      <x:c r="C11" s="1326" t="n">
        <x:f>Exec!B52</x:f>
        <x:v>10000</x:v>
      </x:c>
      <x:c r="D11" s="1327" t="n">
        <x:f>C11*12</x:f>
        <x:v>120000</x:v>
      </x:c>
      <x:c r="E11" s="1044" t="str">
        <x:v>Fixed</x:v>
      </x:c>
      <x:c r="F11" s="1044" t="str">
        <x:v>Yes</x:v>
      </x:c>
      <x:c r="G11" s="1035" t="str">
        <x:v>Creator seeding, repost incentives, test content.</x:v>
      </x:c>
      <x:c r="H11" s="316"/>
      <x:c r="I11" s="316"/>
    </x:row>
    <x:row r="12" ht="28.5" customHeight="1">
      <x:c r="A12" s="1324" t="str">
        <x:v>Legal / admin</x:v>
      </x:c>
      <x:c r="B12" s="1325" t="str">
        <x:v>Editable monthly admin/legal</x:v>
      </x:c>
      <x:c r="C12" s="1326" t="n">
        <x:f>Exec!B53</x:f>
        <x:v>5000</x:v>
      </x:c>
      <x:c r="D12" s="1327" t="n">
        <x:f>C12*12</x:f>
        <x:v>60000</x:v>
      </x:c>
      <x:c r="E12" s="1044" t="str">
        <x:v>Fixed</x:v>
      </x:c>
      <x:c r="F12" s="1044" t="str">
        <x:v>Yes</x:v>
      </x:c>
      <x:c r="G12" s="1035" t="str">
        <x:v>Contracts, accounting, sponsor review, terms.</x:v>
      </x:c>
      <x:c r="H12" s="316"/>
      <x:c r="I12" s="316"/>
    </x:row>
    <x:row r="13" ht="28.5" customHeight="1">
      <x:c r="A13" s="1324" t="str">
        <x:v>Founder payroll / draw</x:v>
      </x:c>
      <x:c r="B13" s="1325" t="str">
        <x:v>Editable founder draw</x:v>
      </x:c>
      <x:c r="C13" s="1326" t="n">
        <x:f>Exec!B54</x:f>
        <x:v>0</x:v>
      </x:c>
      <x:c r="D13" s="1327" t="n">
        <x:f>C13*12</x:f>
        <x:v>0</x:v>
      </x:c>
      <x:c r="E13" s="1044" t="str">
        <x:v>Fixed</x:v>
      </x:c>
      <x:c r="F13" s="1044" t="str">
        <x:v>Yes</x:v>
      </x:c>
      <x:c r="G13" s="1035" t="str">
        <x:v>Defaults to $0 because user said no employees.</x:v>
      </x:c>
      <x:c r="H13" s="316"/>
      <x:c r="I13" s="316"/>
    </x:row>
    <x:row r="14" ht="28.5" customHeight="1">
      <x:c r="A14" s="1328" t="str">
        <x:v>Total costs</x:v>
      </x:c>
      <x:c r="B14" s="1329" t="str">
        <x:v>Sum of modeled cost lines</x:v>
      </x:c>
      <x:c r="C14" s="1330" t="n">
        <x:f>SUM(C6:C13)</x:f>
        <x:v>317697.5</x:v>
      </x:c>
      <x:c r="D14" s="1331" t="n">
        <x:f>C14*12</x:f>
        <x:v>3812370</x:v>
      </x:c>
      <x:c r="E14" s="1045" t="str"/>
      <x:c r="F14" s="1045" t="str">
        <x:v>Yes</x:v>
      </x:c>
      <x:c r="G14" s="1036" t="str">
        <x:v>Should tie to Exec total operating costs.</x:v>
      </x:c>
      <x:c r="H14" s="316"/>
      <x:c r="I14" s="316"/>
    </x:row>
  </x:sheetData>
  <x:mergeCells>
    <x:mergeCell ref="A1:D1"/>
    <x:mergeCell ref="A2:D2"/>
    <x:mergeCell ref="A4:I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30000305175781" hidden="0" customWidth="1"/>
    <x:col min="2" max="2" width="17.860000610351562" hidden="0" customWidth="1"/>
    <x:col min="3" max="3" width="17.139999389648438" hidden="0" customWidth="1"/>
    <x:col min="4" max="4" width="15.710000038146973" hidden="0" customWidth="1"/>
    <x:col min="5" max="5" width="15" hidden="0" customWidth="1"/>
    <x:col min="6" max="6" width="20" hidden="0" customWidth="1"/>
    <x:col min="7" max="7" width="23.56999969482422" hidden="0" customWidth="1"/>
    <x:col min="8" max="8" width="22.860000610351562" hidden="0" customWidth="1"/>
    <x:col min="9" max="9" width="24.290000915527344" hidden="0" customWidth="1"/>
    <x:col min="10" max="10" width="20" hidden="0" customWidth="1"/>
    <x:col min="11" max="11" width="17.139999389648438" hidden="0" customWidth="1"/>
    <x:col min="12" max="12" width="21.43000030517578" hidden="0" customWidth="1"/>
    <x:col min="13" max="13" width="20" hidden="0" customWidth="1"/>
    <x:col min="14" max="14" width="46.43000030517578" hidden="0" customWidth="1"/>
    <x:col min="15" max="15" width="16.43000030517578" hidden="0" customWidth="1"/>
  </x:cols>
  <x:sheetData>
    <x:row r="1" ht="25.5" customHeight="1">
      <x:c r="A1" s="1310" t="str">
        <x:v>90-Day KPI Tracker</x:v>
      </x:c>
      <x:c r="B1" s="1310"/>
      <x:c r="C1" s="1310"/>
      <x:c r="D1" s="1310"/>
      <x:c r="E1" s="1310"/>
      <x:c r="F1" s="1310"/>
      <x:c r="G1" s="1310"/>
      <x:c r="H1" s="1310"/>
      <x:c r="I1" s="1310"/>
      <x:c r="J1" s="1310"/>
      <x:c r="K1" s="1310"/>
      <x:c r="L1" s="1310"/>
      <x:c r="M1" s="1310"/>
      <x:c r="N1" s="1310"/>
      <x:c r="O1" s="697"/>
      <x:c r="P1" s="698"/>
      <x:c r="Q1" s="698"/>
      <x:c r="R1" s="698"/>
      <x:c r="S1" s="698"/>
      <x:c r="T1" s="698"/>
      <x:c r="U1" s="698"/>
      <x:c r="V1" s="698"/>
      <x:c r="W1" s="698"/>
      <x:c r="X1" s="698"/>
      <x:c r="Y1" s="698"/>
      <x:c r="Z1" s="698"/>
    </x:row>
    <x:row r="2" ht="30" customHeight="1">
      <x:c r="A2" s="1312" t="str">
        <x:v>Paste weekly actuals here. Sponsor readiness is based on retention, challenge participation, sharing, and participant-day proof.</x:v>
      </x:c>
      <x:c r="B2" s="1312"/>
      <x:c r="C2" s="1312"/>
      <x:c r="D2" s="1312"/>
      <x:c r="E2" s="1312"/>
      <x:c r="F2" s="1312"/>
      <x:c r="G2" s="1312"/>
      <x:c r="H2" s="1312"/>
      <x:c r="I2" s="1312"/>
      <x:c r="J2" s="1312"/>
      <x:c r="K2" s="1312"/>
      <x:c r="L2" s="1312"/>
      <x:c r="M2" s="1312"/>
      <x:c r="N2" s="1312"/>
      <x:c r="O2" s="938"/>
      <x:c r="P2" s="939"/>
      <x:c r="Q2" s="939"/>
      <x:c r="R2" s="939"/>
      <x:c r="S2" s="939"/>
      <x:c r="T2" s="939"/>
      <x:c r="U2" s="939"/>
      <x:c r="V2" s="939"/>
      <x:c r="W2" s="939"/>
      <x:c r="X2" s="939"/>
      <x:c r="Y2" s="939"/>
      <x:c r="Z2" s="939"/>
    </x:row>
    <x:row r="3">
      <x:c r="A3" s="700"/>
      <x:c r="B3" s="700"/>
      <x:c r="C3" s="700"/>
      <x:c r="D3" s="700"/>
      <x:c r="E3" s="700"/>
      <x:c r="F3" s="700"/>
      <x:c r="G3" s="700"/>
      <x:c r="H3" s="700"/>
      <x:c r="I3" s="700"/>
      <x:c r="J3" s="700"/>
      <x:c r="K3" s="700"/>
      <x:c r="L3" s="700"/>
      <x:c r="M3" s="700"/>
      <x:c r="N3" s="700"/>
      <x:c r="O3" s="700"/>
      <x:c r="P3" s="698"/>
      <x:c r="Q3" s="698"/>
      <x:c r="R3" s="698"/>
      <x:c r="S3" s="698"/>
      <x:c r="T3" s="698"/>
      <x:c r="U3" s="698"/>
      <x:c r="V3" s="698"/>
      <x:c r="W3" s="698"/>
      <x:c r="X3" s="698"/>
      <x:c r="Y3" s="698"/>
      <x:c r="Z3" s="698"/>
    </x:row>
    <x:row r="4">
      <x:c r="A4" s="1315" t="str">
        <x:v>Weekly Actuals</x:v>
      </x:c>
      <x:c r="B4" s="1315"/>
      <x:c r="C4" s="1315"/>
      <x:c r="D4" s="1315"/>
      <x:c r="E4" s="1315"/>
      <x:c r="F4" s="1315"/>
      <x:c r="G4" s="1315"/>
      <x:c r="H4" s="1315"/>
      <x:c r="I4" s="1315"/>
      <x:c r="J4" s="1315"/>
      <x:c r="K4" s="1315"/>
      <x:c r="L4" s="1315"/>
      <x:c r="M4" s="1315"/>
      <x:c r="N4" s="1315"/>
      <x:c r="O4" s="1315"/>
    </x:row>
    <x:row r="5" ht="31.5" customHeight="1">
      <x:c r="A5" s="318" t="str">
        <x:v>Week</x:v>
      </x:c>
      <x:c r="B5" s="319" t="str">
        <x:v>Status</x:v>
      </x:c>
      <x:c r="C5" s="319" t="str">
        <x:v>MAU</x:v>
      </x:c>
      <x:c r="D5" s="319" t="str">
        <x:v>DAU</x:v>
      </x:c>
      <x:c r="E5" s="319" t="str">
        <x:v>DAU/MAU</x:v>
      </x:c>
      <x:c r="F5" s="319" t="str">
        <x:v>Installs</x:v>
      </x:c>
      <x:c r="G5" s="319" t="str">
        <x:v>First Workout Starts</x:v>
      </x:c>
      <x:c r="H5" s="319" t="str">
        <x:v>First Workout Completions</x:v>
      </x:c>
      <x:c r="I5" s="319" t="str">
        <x:v>Challenge Joins</x:v>
      </x:c>
      <x:c r="J5" s="319" t="str">
        <x:v>Challenge Completion Rate</x:v>
      </x:c>
      <x:c r="K5" s="319" t="str">
        <x:v>Completion Shares</x:v>
      </x:c>
      <x:c r="L5" s="319" t="str">
        <x:v>Invites Sent</x:v>
      </x:c>
      <x:c r="M5" s="319" t="str">
        <x:v>Participant-Days</x:v>
      </x:c>
      <x:c r="N5" s="319" t="str">
        <x:v>Waitlist Signups</x:v>
      </x:c>
      <x:c r="O5" s="320" t="str">
        <x:v>Notes</x:v>
      </x:c>
    </x:row>
    <x:row r="6" ht="21" customHeight="1">
      <x:c r="A6" s="267" t="n">
        <x:v>1</x:v>
      </x:c>
      <x:c r="B6" s="1289" t="str">
        <x:v>Not Started</x:v>
      </x:c>
      <x:c r="C6" s="1290" t="str"/>
      <x:c r="D6" s="1291" t="str"/>
      <x:c r="E6" s="822" t="str">
        <x:f>IFERROR(D6/C6,"")</x:f>
      </x:c>
      <x:c r="F6" s="1298" t="str"/>
      <x:c r="G6" s="1290" t="str"/>
      <x:c r="H6" s="1290" t="str"/>
      <x:c r="I6" s="1290" t="str"/>
      <x:c r="J6" s="1262" t="str"/>
      <x:c r="K6" s="1290" t="str"/>
      <x:c r="L6" s="1290" t="str"/>
      <x:c r="M6" s="1290" t="str"/>
      <x:c r="N6" s="1299" t="str"/>
      <x:c r="O6" s="269" t="str"/>
    </x:row>
    <x:row r="7" ht="21" customHeight="1">
      <x:c r="A7" s="270" t="n">
        <x:v>2</x:v>
      </x:c>
      <x:c r="B7" s="1292" t="str">
        <x:v>Not Started</x:v>
      </x:c>
      <x:c r="C7" s="1293" t="str"/>
      <x:c r="D7" s="1294" t="str"/>
      <x:c r="E7" s="827" t="str">
        <x:f>IFERROR(D7/C7,"")</x:f>
      </x:c>
      <x:c r="F7" s="1300" t="str"/>
      <x:c r="G7" s="1293" t="str"/>
      <x:c r="H7" s="1293" t="str"/>
      <x:c r="I7" s="1293" t="str"/>
      <x:c r="J7" s="1269" t="str"/>
      <x:c r="K7" s="1293" t="str"/>
      <x:c r="L7" s="1293" t="str"/>
      <x:c r="M7" s="1293" t="str"/>
      <x:c r="N7" s="1301" t="str"/>
      <x:c r="O7" s="272" t="str"/>
    </x:row>
    <x:row r="8" ht="21" customHeight="1">
      <x:c r="A8" s="270" t="n">
        <x:v>3</x:v>
      </x:c>
      <x:c r="B8" s="1292" t="str">
        <x:v>Not Started</x:v>
      </x:c>
      <x:c r="C8" s="1293" t="str"/>
      <x:c r="D8" s="1294" t="str"/>
      <x:c r="E8" s="827" t="str">
        <x:f>IFERROR(D8/C8,"")</x:f>
      </x:c>
      <x:c r="F8" s="1300" t="str"/>
      <x:c r="G8" s="1293" t="str"/>
      <x:c r="H8" s="1293" t="str"/>
      <x:c r="I8" s="1293" t="str"/>
      <x:c r="J8" s="1269" t="str"/>
      <x:c r="K8" s="1293" t="str"/>
      <x:c r="L8" s="1293" t="str"/>
      <x:c r="M8" s="1293" t="str"/>
      <x:c r="N8" s="1301" t="str"/>
      <x:c r="O8" s="272" t="str"/>
    </x:row>
    <x:row r="9" ht="21" customHeight="1">
      <x:c r="A9" s="270" t="n">
        <x:v>4</x:v>
      </x:c>
      <x:c r="B9" s="1292" t="str">
        <x:v>Not Started</x:v>
      </x:c>
      <x:c r="C9" s="1293" t="str"/>
      <x:c r="D9" s="1294" t="str"/>
      <x:c r="E9" s="827" t="str">
        <x:f>IFERROR(D9/C9,"")</x:f>
      </x:c>
      <x:c r="F9" s="1300" t="str"/>
      <x:c r="G9" s="1293" t="str"/>
      <x:c r="H9" s="1293" t="str"/>
      <x:c r="I9" s="1293" t="str"/>
      <x:c r="J9" s="1269" t="str"/>
      <x:c r="K9" s="1293" t="str"/>
      <x:c r="L9" s="1293" t="str"/>
      <x:c r="M9" s="1293" t="str"/>
      <x:c r="N9" s="1301" t="str"/>
      <x:c r="O9" s="272" t="str"/>
    </x:row>
    <x:row r="10" ht="21" customHeight="1">
      <x:c r="A10" s="270" t="n">
        <x:v>5</x:v>
      </x:c>
      <x:c r="B10" s="1292" t="str">
        <x:v>Not Started</x:v>
      </x:c>
      <x:c r="C10" s="1293" t="str"/>
      <x:c r="D10" s="1294" t="str"/>
      <x:c r="E10" s="827" t="str">
        <x:f>IFERROR(D10/C10,"")</x:f>
      </x:c>
      <x:c r="F10" s="1300" t="str"/>
      <x:c r="G10" s="1293" t="str"/>
      <x:c r="H10" s="1293" t="str"/>
      <x:c r="I10" s="1293" t="str"/>
      <x:c r="J10" s="1269" t="str"/>
      <x:c r="K10" s="1293" t="str"/>
      <x:c r="L10" s="1293" t="str"/>
      <x:c r="M10" s="1293" t="str"/>
      <x:c r="N10" s="1301" t="str"/>
      <x:c r="O10" s="272" t="str"/>
    </x:row>
    <x:row r="11" ht="21" customHeight="1">
      <x:c r="A11" s="270" t="n">
        <x:v>6</x:v>
      </x:c>
      <x:c r="B11" s="1292" t="str">
        <x:v>Not Started</x:v>
      </x:c>
      <x:c r="C11" s="1293" t="str"/>
      <x:c r="D11" s="1294" t="str"/>
      <x:c r="E11" s="827" t="str">
        <x:f>IFERROR(D11/C11,"")</x:f>
      </x:c>
      <x:c r="F11" s="1300" t="str"/>
      <x:c r="G11" s="1293" t="str"/>
      <x:c r="H11" s="1293" t="str"/>
      <x:c r="I11" s="1293" t="str"/>
      <x:c r="J11" s="1269" t="str"/>
      <x:c r="K11" s="1293" t="str"/>
      <x:c r="L11" s="1293" t="str"/>
      <x:c r="M11" s="1293" t="str"/>
      <x:c r="N11" s="1301" t="str"/>
      <x:c r="O11" s="272" t="str"/>
    </x:row>
    <x:row r="12" ht="21" customHeight="1">
      <x:c r="A12" s="270" t="n">
        <x:v>7</x:v>
      </x:c>
      <x:c r="B12" s="1292" t="str">
        <x:v>Not Started</x:v>
      </x:c>
      <x:c r="C12" s="1293" t="str"/>
      <x:c r="D12" s="1294" t="str"/>
      <x:c r="E12" s="827" t="str">
        <x:f>IFERROR(D12/C12,"")</x:f>
      </x:c>
      <x:c r="F12" s="1300" t="str"/>
      <x:c r="G12" s="1293" t="str"/>
      <x:c r="H12" s="1293" t="str"/>
      <x:c r="I12" s="1293" t="str"/>
      <x:c r="J12" s="1269" t="str"/>
      <x:c r="K12" s="1293" t="str"/>
      <x:c r="L12" s="1293" t="str"/>
      <x:c r="M12" s="1293" t="str"/>
      <x:c r="N12" s="1301" t="str"/>
      <x:c r="O12" s="272" t="str"/>
    </x:row>
    <x:row r="13" ht="21" customHeight="1">
      <x:c r="A13" s="270" t="n">
        <x:v>8</x:v>
      </x:c>
      <x:c r="B13" s="1292" t="str">
        <x:v>Not Started</x:v>
      </x:c>
      <x:c r="C13" s="1293" t="str"/>
      <x:c r="D13" s="1294" t="str"/>
      <x:c r="E13" s="827" t="str">
        <x:f>IFERROR(D13/C13,"")</x:f>
      </x:c>
      <x:c r="F13" s="1300" t="str"/>
      <x:c r="G13" s="1293" t="str"/>
      <x:c r="H13" s="1293" t="str"/>
      <x:c r="I13" s="1293" t="str"/>
      <x:c r="J13" s="1269" t="str"/>
      <x:c r="K13" s="1293" t="str"/>
      <x:c r="L13" s="1293" t="str"/>
      <x:c r="M13" s="1293" t="str"/>
      <x:c r="N13" s="1301" t="str"/>
      <x:c r="O13" s="272" t="str"/>
    </x:row>
    <x:row r="14" ht="21" customHeight="1">
      <x:c r="A14" s="270" t="n">
        <x:v>9</x:v>
      </x:c>
      <x:c r="B14" s="1292" t="str">
        <x:v>Not Started</x:v>
      </x:c>
      <x:c r="C14" s="1293" t="str"/>
      <x:c r="D14" s="1294" t="str"/>
      <x:c r="E14" s="827" t="str">
        <x:f>IFERROR(D14/C14,"")</x:f>
      </x:c>
      <x:c r="F14" s="1300" t="str"/>
      <x:c r="G14" s="1293" t="str"/>
      <x:c r="H14" s="1293" t="str"/>
      <x:c r="I14" s="1293" t="str"/>
      <x:c r="J14" s="1269" t="str"/>
      <x:c r="K14" s="1293" t="str"/>
      <x:c r="L14" s="1293" t="str"/>
      <x:c r="M14" s="1293" t="str"/>
      <x:c r="N14" s="1301" t="str"/>
      <x:c r="O14" s="272" t="str"/>
    </x:row>
    <x:row r="15" ht="21" customHeight="1">
      <x:c r="A15" s="270" t="n">
        <x:v>10</x:v>
      </x:c>
      <x:c r="B15" s="1292" t="str">
        <x:v>Not Started</x:v>
      </x:c>
      <x:c r="C15" s="1293" t="str"/>
      <x:c r="D15" s="1294" t="str"/>
      <x:c r="E15" s="827" t="str">
        <x:f>IFERROR(D15/C15,"")</x:f>
      </x:c>
      <x:c r="F15" s="1300" t="str"/>
      <x:c r="G15" s="1293" t="str"/>
      <x:c r="H15" s="1293" t="str"/>
      <x:c r="I15" s="1293" t="str"/>
      <x:c r="J15" s="1269" t="str"/>
      <x:c r="K15" s="1293" t="str"/>
      <x:c r="L15" s="1293" t="str"/>
      <x:c r="M15" s="1293" t="str"/>
      <x:c r="N15" s="1301" t="str"/>
      <x:c r="O15" s="272" t="str"/>
    </x:row>
    <x:row r="16" ht="21" customHeight="1">
      <x:c r="A16" s="270" t="n">
        <x:v>11</x:v>
      </x:c>
      <x:c r="B16" s="1292" t="str">
        <x:v>Not Started</x:v>
      </x:c>
      <x:c r="C16" s="1293" t="str"/>
      <x:c r="D16" s="1294" t="str"/>
      <x:c r="E16" s="827" t="str">
        <x:f>IFERROR(D16/C16,"")</x:f>
      </x:c>
      <x:c r="F16" s="1300" t="str"/>
      <x:c r="G16" s="1293" t="str"/>
      <x:c r="H16" s="1293" t="str"/>
      <x:c r="I16" s="1293" t="str"/>
      <x:c r="J16" s="1269" t="str"/>
      <x:c r="K16" s="1293" t="str"/>
      <x:c r="L16" s="1293" t="str"/>
      <x:c r="M16" s="1293" t="str"/>
      <x:c r="N16" s="1301" t="str"/>
      <x:c r="O16" s="272" t="str"/>
    </x:row>
    <x:row r="17" ht="21" customHeight="1">
      <x:c r="A17" s="273" t="n">
        <x:v>12</x:v>
      </x:c>
      <x:c r="B17" s="1295" t="str">
        <x:v>Not Started</x:v>
      </x:c>
      <x:c r="C17" s="1296" t="str"/>
      <x:c r="D17" s="1297" t="str"/>
      <x:c r="E17" s="832" t="str">
        <x:f>IFERROR(D17/C17,"")</x:f>
      </x:c>
      <x:c r="F17" s="1302" t="str"/>
      <x:c r="G17" s="1296" t="str"/>
      <x:c r="H17" s="1296" t="str"/>
      <x:c r="I17" s="1296" t="str"/>
      <x:c r="J17" s="1276" t="str"/>
      <x:c r="K17" s="1296" t="str"/>
      <x:c r="L17" s="1296" t="str"/>
      <x:c r="M17" s="1296" t="str"/>
      <x:c r="N17" s="1303" t="str"/>
      <x:c r="O17" s="275" t="str"/>
    </x:row>
    <x:row r="18">
      <x:c r="A18" s="316"/>
      <x:c r="B18" s="316"/>
      <x:c r="C18" s="316"/>
      <x:c r="D18" s="316"/>
      <x:c r="E18" s="316"/>
      <x:c r="F18" s="316"/>
      <x:c r="G18" s="316"/>
      <x:c r="H18" s="316"/>
      <x:c r="I18" s="316"/>
      <x:c r="J18" s="316"/>
      <x:c r="K18" s="316"/>
      <x:c r="L18" s="316"/>
      <x:c r="M18" s="316"/>
      <x:c r="N18" s="316"/>
      <x:c r="O18" s="316"/>
    </x:row>
    <x:row r="19">
      <x:c r="A19" s="316"/>
      <x:c r="B19" s="316"/>
      <x:c r="C19" s="316"/>
      <x:c r="D19" s="316"/>
      <x:c r="E19" s="316"/>
      <x:c r="F19" s="316"/>
      <x:c r="G19" s="316"/>
      <x:c r="H19" s="316"/>
      <x:c r="I19" s="316"/>
      <x:c r="J19" s="316"/>
      <x:c r="K19" s="316"/>
      <x:c r="L19" s="316"/>
      <x:c r="M19" s="316"/>
      <x:c r="N19" s="316"/>
      <x:c r="O19" s="316"/>
    </x:row>
    <x:row r="20">
      <x:c r="A20" s="1315" t="str">
        <x:v>Sponsor Readiness Snapshot</x:v>
      </x:c>
      <x:c r="B20" s="1315"/>
      <x:c r="C20" s="1315"/>
      <x:c r="D20" s="1315"/>
      <x:c r="E20" s="1315"/>
      <x:c r="F20" s="1315"/>
      <x:c r="G20" s="316"/>
      <x:c r="H20" s="316"/>
      <x:c r="I20" s="316"/>
      <x:c r="J20" s="316"/>
      <x:c r="K20" s="316"/>
      <x:c r="L20" s="316"/>
      <x:c r="M20" s="316"/>
      <x:c r="N20" s="316"/>
      <x:c r="O20" s="316"/>
    </x:row>
    <x:row r="21" ht="28.5" customHeight="1">
      <x:c r="A21" s="318" t="str">
        <x:v>Metric</x:v>
      </x:c>
      <x:c r="B21" s="319" t="str">
        <x:v>Latest Actual</x:v>
      </x:c>
      <x:c r="C21" s="319" t="str">
        <x:v>Day 90 Strong Target</x:v>
      </x:c>
      <x:c r="D21" s="320" t="str">
        <x:v>Status</x:v>
      </x:c>
      <x:c r="E21" s="316"/>
      <x:c r="F21" s="316"/>
      <x:c r="G21" s="316"/>
      <x:c r="H21" s="316"/>
      <x:c r="I21" s="316"/>
      <x:c r="J21" s="316"/>
      <x:c r="K21" s="316"/>
      <x:c r="L21" s="316"/>
      <x:c r="M21" s="316"/>
      <x:c r="N21" s="316"/>
      <x:c r="O21" s="316"/>
    </x:row>
    <x:row r="22" ht="27" customHeight="1">
      <x:c r="A22" s="267" t="str">
        <x:v>MAU</x:v>
      </x:c>
      <x:c r="B22" s="835" t="n">
        <x:f>IFERROR(LOOKUP(2,1/(C6:C17&lt;&gt;""),C6:C17),0)</x:f>
        <x:v>0</x:v>
      </x:c>
      <x:c r="C22" s="836" t="n">
        <x:v>50000</x:v>
      </x:c>
      <x:c r="D22" s="837" t="str">
        <x:f>IF(B22&gt;=C22,"OK","Watch")</x:f>
        <x:v>Watch</x:v>
      </x:c>
      <x:c r="E22" s="316"/>
      <x:c r="F22" s="316"/>
      <x:c r="G22" s="316"/>
      <x:c r="H22" s="316"/>
      <x:c r="I22" s="316"/>
      <x:c r="J22" s="316"/>
      <x:c r="K22" s="316"/>
      <x:c r="L22" s="316"/>
      <x:c r="M22" s="316"/>
      <x:c r="N22" s="316"/>
      <x:c r="O22" s="316"/>
    </x:row>
    <x:row r="23" ht="27" customHeight="1">
      <x:c r="A23" s="270" t="str">
        <x:v>DAU/MAU</x:v>
      </x:c>
      <x:c r="B23" s="838" t="n">
        <x:f>IFERROR(LOOKUP(2,1/(E6:E17&lt;&gt;""),E6:E17),0)</x:f>
        <x:v>0</x:v>
      </x:c>
      <x:c r="C23" s="839" t="n">
        <x:v>0.3</x:v>
      </x:c>
      <x:c r="D23" s="840" t="str">
        <x:f>IF(B23&gt;=C23,"OK","Watch")</x:f>
        <x:v>Watch</x:v>
      </x:c>
      <x:c r="E23" s="316"/>
      <x:c r="F23" s="316"/>
      <x:c r="G23" s="316"/>
      <x:c r="H23" s="316"/>
      <x:c r="I23" s="316"/>
      <x:c r="J23" s="316"/>
      <x:c r="K23" s="316"/>
      <x:c r="L23" s="316"/>
      <x:c r="M23" s="316"/>
      <x:c r="N23" s="316"/>
      <x:c r="O23" s="316"/>
    </x:row>
    <x:row r="24" ht="27" customHeight="1">
      <x:c r="A24" s="270" t="str">
        <x:v>Challenge Joins</x:v>
      </x:c>
      <x:c r="B24" s="841" t="n">
        <x:f>SUM(I6:I17)</x:f>
        <x:v>0</x:v>
      </x:c>
      <x:c r="C24" s="842" t="n">
        <x:v>5000</x:v>
      </x:c>
      <x:c r="D24" s="840" t="str">
        <x:f>IF(B24&gt;=C24,"OK","Watch")</x:f>
        <x:v>Watch</x:v>
      </x:c>
      <x:c r="E24" s="316"/>
      <x:c r="F24" s="316"/>
      <x:c r="G24" s="316"/>
      <x:c r="H24" s="316"/>
      <x:c r="I24" s="316"/>
      <x:c r="J24" s="316"/>
      <x:c r="K24" s="316"/>
      <x:c r="L24" s="316"/>
      <x:c r="M24" s="316"/>
      <x:c r="N24" s="316"/>
      <x:c r="O24" s="316"/>
    </x:row>
    <x:row r="25" ht="27" customHeight="1">
      <x:c r="A25" s="270" t="str">
        <x:v>Completion Shares</x:v>
      </x:c>
      <x:c r="B25" s="841" t="n">
        <x:f>SUM(K6:K17)</x:f>
        <x:v>0</x:v>
      </x:c>
      <x:c r="C25" s="842" t="n">
        <x:v>500</x:v>
      </x:c>
      <x:c r="D25" s="840" t="str">
        <x:f>IF(B25&gt;=C25,"OK","Watch")</x:f>
        <x:v>Watch</x:v>
      </x:c>
      <x:c r="E25" s="316"/>
      <x:c r="F25" s="316"/>
      <x:c r="G25" s="316"/>
      <x:c r="H25" s="316"/>
      <x:c r="I25" s="316"/>
      <x:c r="J25" s="316"/>
      <x:c r="K25" s="316"/>
      <x:c r="L25" s="316"/>
      <x:c r="M25" s="316"/>
      <x:c r="N25" s="316"/>
      <x:c r="O25" s="316"/>
    </x:row>
    <x:row r="26" ht="27" customHeight="1">
      <x:c r="A26" s="273" t="str">
        <x:v>Participant-Days</x:v>
      </x:c>
      <x:c r="B26" s="843" t="n">
        <x:f>SUM(M6:M17)</x:f>
        <x:v>0</x:v>
      </x:c>
      <x:c r="C26" s="844" t="n">
        <x:v>50000</x:v>
      </x:c>
      <x:c r="D26" s="845" t="str">
        <x:f>IF(B26&gt;=C26,"OK","Watch")</x:f>
        <x:v>Watch</x:v>
      </x:c>
      <x:c r="E26" s="316"/>
      <x:c r="F26" s="316"/>
      <x:c r="G26" s="316"/>
      <x:c r="H26" s="316"/>
      <x:c r="I26" s="316"/>
      <x:c r="J26" s="316"/>
      <x:c r="K26" s="316"/>
      <x:c r="L26" s="316"/>
      <x:c r="M26" s="316"/>
      <x:c r="N26" s="316"/>
      <x:c r="O26" s="316"/>
    </x:row>
  </x:sheetData>
  <x:mergeCells>
    <x:mergeCell ref="A1:N1"/>
    <x:mergeCell ref="A2:N2"/>
    <x:mergeCell ref="A4:O4"/>
    <x:mergeCell ref="A20:F20"/>
  </x:mergeCells>
  <x:conditionalFormatting sqref="D22:D26">
    <x:cfRule type="containsText" dxfId="0" priority="1" operator="containsText" text="OK"/>
    <x:cfRule type="containsText" dxfId="1" priority="2" operator="containsText" text="Watch"/>
  </x:conditionalFormatting>
  <x:dataValidations count="1">
    <x:dataValidation type="list" allowBlank="0" showDropDown="0" sqref="B6:B17">
      <x:formula1>"Not Started,In Progress,Done,Blocked"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289999961853027" hidden="0" customWidth="1"/>
    <x:col min="2" max="2" width="29.290000915527344" hidden="0" customWidth="1"/>
    <x:col min="3" max="3" width="60.709999084472656" hidden="0" customWidth="1"/>
    <x:col min="4" max="4" width="29.290000915527344" hidden="0" customWidth="1"/>
    <x:col min="5" max="5" width="39.290000915527344" hidden="0" customWidth="1"/>
    <x:col min="6" max="6" width="19.290000915527344" hidden="0" customWidth="1"/>
    <x:col min="7" max="7" width="32.13999938964844" hidden="0" customWidth="1"/>
    <x:col min="8" max="8" width="52.13999938964844" hidden="0" customWidth="1"/>
    <x:col min="9" max="9" width="16.43000030517578" hidden="0" customWidth="1"/>
    <x:col min="10" max="10" width="16.43000030517578" hidden="0" customWidth="1"/>
    <x:col min="11" max="11" width="16.43000030517578" hidden="0" customWidth="1"/>
  </x:cols>
  <x:sheetData>
    <x:row r="1" ht="25.5" customHeight="1">
      <x:c r="A1" s="1310" t="str">
        <x:v>90-Day Cultural Breakout Execution Plan</x:v>
      </x:c>
      <x:c r="B1" s="1310"/>
      <x:c r="C1" s="1310"/>
      <x:c r="D1" s="1310"/>
      <x:c r="E1" s="1310"/>
      <x:c r="F1" s="1310"/>
      <x:c r="G1" s="1310"/>
      <x:c r="H1" s="1310"/>
      <x:c r="I1" s="697"/>
      <x:c r="J1" s="697"/>
      <x:c r="K1" s="697"/>
      <x:c r="L1" s="698"/>
      <x:c r="M1" s="698"/>
      <x:c r="N1" s="698"/>
      <x:c r="O1" s="698"/>
      <x:c r="P1" s="698"/>
      <x:c r="Q1" s="698"/>
      <x:c r="R1" s="698"/>
      <x:c r="S1" s="698"/>
      <x:c r="T1" s="698"/>
      <x:c r="U1" s="698"/>
      <x:c r="V1" s="698"/>
      <x:c r="W1" s="698"/>
      <x:c r="X1" s="698"/>
      <x:c r="Y1" s="698"/>
      <x:c r="Z1" s="698"/>
    </x:row>
    <x:row r="2" ht="30" customHeight="1">
      <x:c r="A2" s="1312" t="str">
        <x:v>Weekly shipping, testing, and KPI targets from 90-day-cultural-breakout-plan.md. Update Status and Actual Notes each week.</x:v>
      </x:c>
      <x:c r="B2" s="1312"/>
      <x:c r="C2" s="1312"/>
      <x:c r="D2" s="1312"/>
      <x:c r="E2" s="1312"/>
      <x:c r="F2" s="1312"/>
      <x:c r="G2" s="1312"/>
      <x:c r="H2" s="1312"/>
      <x:c r="I2" s="938"/>
      <x:c r="J2" s="938"/>
      <x:c r="K2" s="938"/>
      <x:c r="L2" s="939"/>
      <x:c r="M2" s="939"/>
      <x:c r="N2" s="939"/>
      <x:c r="O2" s="939"/>
      <x:c r="P2" s="939"/>
      <x:c r="Q2" s="939"/>
      <x:c r="R2" s="939"/>
      <x:c r="S2" s="939"/>
      <x:c r="T2" s="939"/>
      <x:c r="U2" s="939"/>
      <x:c r="V2" s="939"/>
      <x:c r="W2" s="939"/>
      <x:c r="X2" s="939"/>
      <x:c r="Y2" s="939"/>
      <x:c r="Z2" s="939"/>
    </x:row>
    <x:row r="3">
      <x:c r="A3" s="700"/>
      <x:c r="B3" s="700"/>
      <x:c r="C3" s="700"/>
      <x:c r="D3" s="700"/>
      <x:c r="E3" s="700"/>
      <x:c r="F3" s="700"/>
      <x:c r="G3" s="700"/>
      <x:c r="H3" s="700"/>
      <x:c r="I3" s="700"/>
      <x:c r="J3" s="700"/>
      <x:c r="K3" s="700"/>
      <x:c r="L3" s="698"/>
      <x:c r="M3" s="698"/>
      <x:c r="N3" s="698"/>
      <x:c r="O3" s="698"/>
      <x:c r="P3" s="698"/>
      <x:c r="Q3" s="698"/>
      <x:c r="R3" s="698"/>
      <x:c r="S3" s="698"/>
      <x:c r="T3" s="698"/>
      <x:c r="U3" s="698"/>
      <x:c r="V3" s="698"/>
      <x:c r="W3" s="698"/>
      <x:c r="X3" s="698"/>
      <x:c r="Y3" s="698"/>
      <x:c r="Z3" s="698"/>
    </x:row>
    <x:row r="4">
      <x:c r="A4" s="1315" t="str">
        <x:v>Weekly Plan</x:v>
      </x:c>
      <x:c r="B4" s="1315"/>
      <x:c r="C4" s="1315"/>
      <x:c r="D4" s="1315"/>
      <x:c r="E4" s="1315"/>
      <x:c r="F4" s="1315"/>
      <x:c r="G4" s="1315"/>
      <x:c r="H4" s="1315"/>
      <x:c r="I4" s="1315"/>
      <x:c r="J4" s="1315"/>
      <x:c r="K4" s="1315"/>
    </x:row>
    <x:row r="5" ht="27" customHeight="1">
      <x:c r="A5" s="1318" t="str">
        <x:v>Week</x:v>
      </x:c>
      <x:c r="B5" s="1319" t="str">
        <x:v>Theme</x:v>
      </x:c>
      <x:c r="C5" s="1319" t="str">
        <x:v>Ship / Test Focus</x:v>
      </x:c>
      <x:c r="D5" s="1319" t="str">
        <x:v>Primary KPI</x:v>
      </x:c>
      <x:c r="E5" s="1319" t="str">
        <x:v>Target</x:v>
      </x:c>
      <x:c r="F5" s="1319" t="str">
        <x:v>Status</x:v>
      </x:c>
      <x:c r="G5" s="1319" t="str">
        <x:v>Actual Result</x:v>
      </x:c>
      <x:c r="H5" s="1316" t="str">
        <x:v>Notes</x:v>
      </x:c>
      <x:c r="I5" s="316"/>
      <x:c r="J5" s="316"/>
      <x:c r="K5" s="316"/>
    </x:row>
    <x:row r="6" ht="40.5" customHeight="1">
      <x:c r="A6" s="1320" t="n">
        <x:v>1</x:v>
      </x:c>
      <x:c r="B6" s="1043" t="str">
        <x:v>Instrument the core</x:v>
      </x:c>
      <x:c r="C6" s="1043" t="str">
        <x:v>Analytics events, basic dashboard, share card v1, challenge landing mock</x:v>
      </x:c>
      <x:c r="D6" s="1043" t="str">
        <x:v>First workout start rate</x:v>
      </x:c>
      <x:c r="E6" s="1043" t="str">
        <x:v>40%+ from install</x:v>
      </x:c>
      <x:c r="F6" s="1332" t="str">
        <x:v>Not Started</x:v>
      </x:c>
      <x:c r="G6" s="1333" t="str"/>
      <x:c r="H6" s="1334" t="str"/>
      <x:c r="I6" s="316"/>
      <x:c r="J6" s="316"/>
      <x:c r="K6" s="316"/>
    </x:row>
    <x:row r="7" ht="40.5" customHeight="1">
      <x:c r="A7" s="1324" t="n">
        <x:v>2</x:v>
      </x:c>
      <x:c r="B7" s="1044" t="str">
        <x:v>Launch 7-day challenge</x:v>
      </x:c>
      <x:c r="C7" s="1044" t="str">
        <x:v>7-day challenge, progress screen, challenge share card, invite link</x:v>
      </x:c>
      <x:c r="D7" s="1044" t="str">
        <x:v>Challenge joins</x:v>
      </x:c>
      <x:c r="E7" s="1044" t="str">
        <x:v>250+ joins; 20%+ active join rate</x:v>
      </x:c>
      <x:c r="F7" s="1335" t="str">
        <x:v>Not Started</x:v>
      </x:c>
      <x:c r="G7" s="1336" t="str"/>
      <x:c r="H7" s="1337" t="str"/>
      <x:c r="I7" s="316"/>
      <x:c r="J7" s="316"/>
      <x:c r="K7" s="316"/>
    </x:row>
    <x:row r="8" ht="40.5" customHeight="1">
      <x:c r="A8" s="1324" t="n">
        <x:v>3</x:v>
      </x:c>
      <x:c r="B8" s="1044" t="str">
        <x:v>Make sharing native</x:v>
      </x:c>
      <x:c r="C8" s="1044" t="str">
        <x:v>Completion card variants, milestone cards, tag-a-friend prompts</x:v>
      </x:c>
      <x:c r="D8" s="1044" t="str">
        <x:v>Completion share rate</x:v>
      </x:c>
      <x:c r="E8" s="1044" t="str">
        <x:v>10%+ share rate</x:v>
      </x:c>
      <x:c r="F8" s="1335" t="str">
        <x:v>Not Started</x:v>
      </x:c>
      <x:c r="G8" s="1336" t="str"/>
      <x:c r="H8" s="1337" t="str"/>
      <x:c r="I8" s="316"/>
      <x:c r="J8" s="316"/>
      <x:c r="K8" s="316"/>
    </x:row>
    <x:row r="9" ht="40.5" customHeight="1">
      <x:c r="A9" s="1324" t="n">
        <x:v>4</x:v>
      </x:c>
      <x:c r="B9" s="1044" t="str">
        <x:v>Creator and campus seeding</x:v>
      </x:c>
      <x:c r="C9" s="1044" t="str">
        <x:v>Creator codes, campus/group naming, participant count</x:v>
      </x:c>
      <x:c r="D9" s="1044" t="str">
        <x:v>Creators recruited</x:v>
      </x:c>
      <x:c r="E9" s="1044" t="str">
        <x:v>10 micro-creators; 5 group leads</x:v>
      </x:c>
      <x:c r="F9" s="1335" t="str">
        <x:v>Not Started</x:v>
      </x:c>
      <x:c r="G9" s="1336" t="str"/>
      <x:c r="H9" s="1337" t="str"/>
      <x:c r="I9" s="316"/>
      <x:c r="J9" s="316"/>
      <x:c r="K9" s="316"/>
    </x:row>
    <x:row r="10" ht="40.5" customHeight="1">
      <x:c r="A10" s="1324" t="n">
        <x:v>5</x:v>
      </x:c>
      <x:c r="B10" s="1044" t="str">
        <x:v>30-day challenge beta</x:v>
      </x:c>
      <x:c r="C10" s="1044" t="str">
        <x:v>30-day free challenge, waitlist, rules page</x:v>
      </x:c>
      <x:c r="D10" s="1044" t="str">
        <x:v>30-day joins</x:v>
      </x:c>
      <x:c r="E10" s="1044" t="str">
        <x:v>1,000+ joins; 25%+ day 7 survival</x:v>
      </x:c>
      <x:c r="F10" s="1335" t="str">
        <x:v>Not Started</x:v>
      </x:c>
      <x:c r="G10" s="1336" t="str"/>
      <x:c r="H10" s="1337" t="str"/>
      <x:c r="I10" s="316"/>
      <x:c r="J10" s="316"/>
      <x:c r="K10" s="316"/>
    </x:row>
    <x:row r="11" ht="40.5" customHeight="1">
      <x:c r="A11" s="1324" t="n">
        <x:v>6</x:v>
      </x:c>
      <x:c r="B11" s="1044" t="str">
        <x:v>Sponsor mock challenge</x:v>
      </x:c>
      <x:c r="C11" s="1044" t="str">
        <x:v>Sponsor mock page, reward module, watermark, report template</x:v>
      </x:c>
      <x:c r="D11" s="1044" t="str">
        <x:v>Reward intent</x:v>
      </x:c>
      <x:c r="E11" s="1044" t="str">
        <x:v>5%+ mock reward click intent</x:v>
      </x:c>
      <x:c r="F11" s="1335" t="str">
        <x:v>Not Started</x:v>
      </x:c>
      <x:c r="G11" s="1336" t="str"/>
      <x:c r="H11" s="1337" t="str"/>
      <x:c r="I11" s="316"/>
      <x:c r="J11" s="316"/>
      <x:c r="K11" s="316"/>
    </x:row>
    <x:row r="12" ht="40.5" customHeight="1">
      <x:c r="A12" s="1324" t="n">
        <x:v>7</x:v>
      </x:c>
      <x:c r="B12" s="1044" t="str">
        <x:v>Commitment mechanics</x:v>
      </x:c>
      <x:c r="C12" s="1044" t="str">
        <x:v>Put $5 on it interest capture and reward framing tests</x:v>
      </x:c>
      <x:c r="D12" s="1044" t="str">
        <x:v>Paid interest</x:v>
      </x:c>
      <x:c r="E12" s="1044" t="str">
        <x:v>5%+ active challenge users express interest</x:v>
      </x:c>
      <x:c r="F12" s="1335" t="str">
        <x:v>Not Started</x:v>
      </x:c>
      <x:c r="G12" s="1336" t="str"/>
      <x:c r="H12" s="1337" t="str"/>
      <x:c r="I12" s="316"/>
      <x:c r="J12" s="316"/>
      <x:c r="K12" s="316"/>
    </x:row>
    <x:row r="13" ht="40.5" customHeight="1">
      <x:c r="A13" s="1324" t="n">
        <x:v>8</x:v>
      </x:c>
      <x:c r="B13" s="1044" t="str">
        <x:v>Squad pressure</x:v>
      </x:c>
      <x:c r="C13" s="1044" t="str">
        <x:v>Squad challenge invite, status, share card</x:v>
      </x:c>
      <x:c r="D13" s="1044" t="str">
        <x:v>Invite accept rate</x:v>
      </x:c>
      <x:c r="E13" s="1044" t="str">
        <x:v>20%+ invited users accept</x:v>
      </x:c>
      <x:c r="F13" s="1335" t="str">
        <x:v>Not Started</x:v>
      </x:c>
      <x:c r="G13" s="1336" t="str"/>
      <x:c r="H13" s="1337" t="str"/>
      <x:c r="I13" s="316"/>
      <x:c r="J13" s="316"/>
      <x:c r="K13" s="316"/>
    </x:row>
    <x:row r="14" ht="40.5" customHeight="1">
      <x:c r="A14" s="1324" t="n">
        <x:v>9</x:v>
      </x:c>
      <x:c r="B14" s="1044" t="str">
        <x:v>Regionalization prep</x:v>
      </x:c>
      <x:c r="C14" s="1044" t="str">
        <x:v>Region reporting, local challenge names, local sponsor mock</x:v>
      </x:c>
      <x:c r="D14" s="1044" t="str">
        <x:v>Region reporting</x:v>
      </x:c>
      <x:c r="E14" s="1044" t="str">
        <x:v>Top 3 regions identified</x:v>
      </x:c>
      <x:c r="F14" s="1335" t="str">
        <x:v>Not Started</x:v>
      </x:c>
      <x:c r="G14" s="1336" t="str"/>
      <x:c r="H14" s="1337" t="str"/>
      <x:c r="I14" s="316"/>
      <x:c r="J14" s="316"/>
      <x:c r="K14" s="316"/>
    </x:row>
    <x:row r="15" ht="40.5" customHeight="1">
      <x:c r="A15" s="1324" t="n">
        <x:v>10</x:v>
      </x:c>
      <x:c r="B15" s="1044" t="str">
        <x:v>Sponsor outreach sprint</x:v>
      </x:c>
      <x:c r="C15" s="1044" t="str">
        <x:v>One-pager, email templates, dashboard screenshots, case study</x:v>
      </x:c>
      <x:c r="D15" s="1044" t="str">
        <x:v>Sponsor meetings</x:v>
      </x:c>
      <x:c r="E15" s="1044" t="str">
        <x:v>100 prospects, 20 replies, 5 meetings</x:v>
      </x:c>
      <x:c r="F15" s="1335" t="str">
        <x:v>Not Started</x:v>
      </x:c>
      <x:c r="G15" s="1336" t="str"/>
      <x:c r="H15" s="1337" t="str"/>
      <x:c r="I15" s="316"/>
      <x:c r="J15" s="316"/>
      <x:c r="K15" s="316"/>
    </x:row>
    <x:row r="16" ht="40.5" customHeight="1">
      <x:c r="A16" s="1324" t="n">
        <x:v>11</x:v>
      </x:c>
      <x:c r="B16" s="1044" t="str">
        <x:v>Founding sponsor package</x:v>
      </x:c>
      <x:c r="C16" s="1044" t="str">
        <x:v>Pilot terms, 3-month offer, asset checklist, report v2</x:v>
      </x:c>
      <x:c r="D16" s="1044" t="str">
        <x:v>Sponsor intent</x:v>
      </x:c>
      <x:c r="E16" s="1044" t="str">
        <x:v>1 paid pilot discussion</x:v>
      </x:c>
      <x:c r="F16" s="1335" t="str">
        <x:v>Not Started</x:v>
      </x:c>
      <x:c r="G16" s="1336" t="str"/>
      <x:c r="H16" s="1337" t="str"/>
      <x:c r="I16" s="316"/>
      <x:c r="J16" s="316"/>
      <x:c r="K16" s="316"/>
    </x:row>
    <x:row r="17" ht="40.5" customHeight="1">
      <x:c r="A17" s="1328" t="n">
        <x:v>12</x:v>
      </x:c>
      <x:c r="B17" s="1045" t="str">
        <x:v>Sponsor-ready launch</x:v>
      </x:c>
      <x:c r="C17" s="1045" t="str">
        <x:v>Challenge calendar, waitlist, branded surfaces, cohort report</x:v>
      </x:c>
      <x:c r="D17" s="1045" t="str">
        <x:v>Sponsor readiness</x:v>
      </x:c>
      <x:c r="E17" s="1045" t="str">
        <x:v>90-day MAU and participant-days reportable</x:v>
      </x:c>
      <x:c r="F17" s="1338" t="str">
        <x:v>Not Started</x:v>
      </x:c>
      <x:c r="G17" s="1339" t="str"/>
      <x:c r="H17" s="1340" t="str"/>
      <x:c r="I17" s="316"/>
      <x:c r="J17" s="316"/>
      <x:c r="K17" s="316"/>
    </x:row>
  </x:sheetData>
  <x:mergeCells>
    <x:mergeCell ref="A1:H1"/>
    <x:mergeCell ref="A2:H2"/>
    <x:mergeCell ref="A4:K4"/>
  </x:mergeCells>
  <x:conditionalFormatting sqref="F6:F17">
    <x:cfRule type="containsText" dxfId="2" priority="1" operator="containsText" text="Done"/>
    <x:cfRule type="containsText" dxfId="3" priority="2" operator="containsText" text="Blocked"/>
  </x:conditionalFormatting>
  <x:dataValidations count="1">
    <x:dataValidation type="list" allowBlank="0" showDropDown="0" sqref="F6:F17">
      <x:formula1>"Not Started,In Progress,Done,Blocked"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62.13999938964844" hidden="0" customWidth="1"/>
    <x:col min="3" max="3" width="92.13999938964844" hidden="0" customWidth="1"/>
    <x:col min="4" max="4" width="16.43000030517578" hidden="0" customWidth="1"/>
    <x:col min="5" max="5" width="16.43000030517578" hidden="0" customWidth="1"/>
    <x:col min="6" max="6" width="16.43000030517578" hidden="0" customWidth="1"/>
    <x:col min="7" max="7" width="16.43000030517578" hidden="0" customWidth="1"/>
  </x:cols>
  <x:sheetData>
    <x:row r="1" ht="25.5" customHeight="1">
      <x:c r="A1" s="1310" t="str">
        <x:v>Sources And Model Notes</x:v>
      </x:c>
      <x:c r="B1" s="1310"/>
      <x:c r="C1" s="1310"/>
      <x:c r="D1" s="1310"/>
      <x:c r="E1" s="697"/>
      <x:c r="F1" s="697"/>
      <x:c r="G1" s="697"/>
      <x:c r="H1" s="698"/>
      <x:c r="I1" s="698"/>
      <x:c r="J1" s="698"/>
      <x:c r="K1" s="698"/>
      <x:c r="L1" s="698"/>
      <x:c r="M1" s="698"/>
      <x:c r="N1" s="698"/>
      <x:c r="O1" s="698"/>
      <x:c r="P1" s="698"/>
      <x:c r="Q1" s="698"/>
      <x:c r="R1" s="698"/>
      <x:c r="S1" s="698"/>
      <x:c r="T1" s="698"/>
      <x:c r="U1" s="698"/>
      <x:c r="V1" s="698"/>
      <x:c r="W1" s="698"/>
      <x:c r="X1" s="698"/>
      <x:c r="Y1" s="698"/>
      <x:c r="Z1" s="698"/>
    </x:row>
    <x:row r="2" ht="30" customHeight="1">
      <x:c r="A2" s="1312" t="str">
        <x:v>Plain-text source list and assumption notes for auditability.</x:v>
      </x:c>
      <x:c r="B2" s="1312"/>
      <x:c r="C2" s="1312"/>
      <x:c r="D2" s="1312"/>
      <x:c r="E2" s="938"/>
      <x:c r="F2" s="938"/>
      <x:c r="G2" s="938"/>
      <x:c r="H2" s="939"/>
      <x:c r="I2" s="939"/>
      <x:c r="J2" s="939"/>
      <x:c r="K2" s="939"/>
      <x:c r="L2" s="939"/>
      <x:c r="M2" s="939"/>
      <x:c r="N2" s="939"/>
      <x:c r="O2" s="939"/>
      <x:c r="P2" s="939"/>
      <x:c r="Q2" s="939"/>
      <x:c r="R2" s="939"/>
      <x:c r="S2" s="939"/>
      <x:c r="T2" s="939"/>
      <x:c r="U2" s="939"/>
      <x:c r="V2" s="939"/>
      <x:c r="W2" s="939"/>
      <x:c r="X2" s="939"/>
      <x:c r="Y2" s="939"/>
      <x:c r="Z2" s="939"/>
    </x:row>
    <x:row r="3">
      <x:c r="A3" s="700"/>
      <x:c r="B3" s="700"/>
      <x:c r="C3" s="700"/>
      <x:c r="D3" s="700"/>
      <x:c r="E3" s="700"/>
      <x:c r="F3" s="700"/>
      <x:c r="G3" s="700"/>
      <x:c r="H3" s="698"/>
      <x:c r="I3" s="698"/>
      <x:c r="J3" s="698"/>
      <x:c r="K3" s="698"/>
      <x:c r="L3" s="698"/>
      <x:c r="M3" s="698"/>
      <x:c r="N3" s="698"/>
      <x:c r="O3" s="698"/>
      <x:c r="P3" s="698"/>
      <x:c r="Q3" s="698"/>
      <x:c r="R3" s="698"/>
      <x:c r="S3" s="698"/>
      <x:c r="T3" s="698"/>
      <x:c r="U3" s="698"/>
      <x:c r="V3" s="698"/>
      <x:c r="W3" s="698"/>
      <x:c r="X3" s="698"/>
      <x:c r="Y3" s="698"/>
      <x:c r="Z3" s="698"/>
    </x:row>
    <x:row r="4">
      <x:c r="A4" s="1315" t="str">
        <x:v>Source Documents</x:v>
      </x:c>
      <x:c r="B4" s="1315"/>
      <x:c r="C4" s="1315"/>
      <x:c r="D4" s="1315"/>
      <x:c r="E4" s="1315"/>
      <x:c r="F4" s="1315"/>
      <x:c r="G4" s="1315"/>
    </x:row>
    <x:row r="5" ht="21" customHeight="1">
      <x:c r="A5" s="1318" t="str">
        <x:v>Source</x:v>
      </x:c>
      <x:c r="B5" s="1319" t="str">
        <x:v>Used For</x:v>
      </x:c>
      <x:c r="C5" s="1316" t="str">
        <x:v>Notes</x:v>
      </x:c>
      <x:c r="D5" s="316"/>
      <x:c r="E5" s="316"/>
      <x:c r="F5" s="316"/>
      <x:c r="G5" s="316"/>
    </x:row>
    <x:row r="6" ht="34.5" customHeight="1">
      <x:c r="A6" s="1366" t="str">
        <x:v>moonshot.md</x:v>
      </x:c>
      <x:c r="B6" s="1037" t="str">
        <x:v>1M MAU model, regional sponsor blocks, participant-day pricing, challenge economics</x:v>
      </x:c>
      <x:c r="C6" s="1342" t="str">
        <x:v>Primary source for sponsor revenue and regional inventory assumptions.</x:v>
      </x:c>
      <x:c r="D6" s="854"/>
      <x:c r="E6" s="316"/>
      <x:c r="F6" s="316"/>
      <x:c r="G6" s="316"/>
    </x:row>
    <x:row r="7" ht="34.5" customHeight="1">
      <x:c r="A7" s="1367" t="str">
        <x:v>MONETIZATION.md</x:v>
      </x:c>
      <x:c r="B7" s="1039" t="str">
        <x:v>Free/Pro tiers, Pro pricing, consumables, server cost strategy</x:v>
      </x:c>
      <x:c r="C7" s="1035" t="str">
        <x:v>Used for subscription and add-on revenue assumptions.</x:v>
      </x:c>
      <x:c r="D7" s="856"/>
      <x:c r="E7" s="316"/>
      <x:c r="F7" s="316"/>
      <x:c r="G7" s="316"/>
    </x:row>
    <x:row r="8" ht="34.5" customHeight="1">
      <x:c r="A8" s="1367" t="str">
        <x:v>90-day-cultural-breakout-plan.md</x:v>
      </x:c>
      <x:c r="B8" s="1039" t="str">
        <x:v>KPI targets, weekly plan, sponsorship readiness checklist</x:v>
      </x:c>
      <x:c r="C8" s="1035" t="str">
        <x:v>Used for KPI tracker and execution plan.</x:v>
      </x:c>
      <x:c r="D8" s="856"/>
      <x:c r="E8" s="316"/>
      <x:c r="F8" s="316"/>
      <x:c r="G8" s="316"/>
    </x:row>
    <x:row r="9" ht="34.5" customHeight="1">
      <x:c r="A9" s="1368" t="str">
        <x:v>potential-monetization-optionspool.md</x:v>
      </x:c>
      <x:c r="B9" s="1041" t="str">
        <x:v>Category-exclusive sponsorship tiers and no-cash-pool challenge economics</x:v>
      </x:c>
      <x:c r="C9" s="1345" t="str">
        <x:v>Used for exclusivity premium and sponsor package logic.</x:v>
      </x:c>
      <x:c r="D9" s="859"/>
      <x:c r="E9" s="316"/>
      <x:c r="F9" s="316"/>
      <x:c r="G9" s="316"/>
    </x:row>
    <x:row r="10">
      <x:c r="A10" s="1317"/>
      <x:c r="B10" s="1317"/>
      <x:c r="C10" s="1317"/>
      <x:c r="D10" s="316"/>
      <x:c r="E10" s="316"/>
      <x:c r="F10" s="316"/>
      <x:c r="G10" s="316"/>
    </x:row>
    <x:row r="11">
      <x:c r="A11" s="1317"/>
      <x:c r="B11" s="1317"/>
      <x:c r="C11" s="1317"/>
      <x:c r="D11" s="316"/>
      <x:c r="E11" s="316"/>
      <x:c r="F11" s="316"/>
      <x:c r="G11" s="316"/>
    </x:row>
    <x:row r="12">
      <x:c r="A12" s="1346" t="str">
        <x:v>Model Notes</x:v>
      </x:c>
      <x:c r="B12" s="1346"/>
      <x:c r="C12" s="1346"/>
      <x:c r="D12" s="1315"/>
      <x:c r="E12" s="1315"/>
      <x:c r="F12" s="1315"/>
      <x:c r="G12" s="1315"/>
    </x:row>
    <x:row r="13" ht="21" customHeight="1">
      <x:c r="A13" s="1318" t="str">
        <x:v>Topic</x:v>
      </x:c>
      <x:c r="B13" s="1316" t="str">
        <x:v>Note</x:v>
      </x:c>
      <x:c r="C13" s="1317"/>
      <x:c r="D13" s="316"/>
      <x:c r="E13" s="316"/>
      <x:c r="F13" s="316"/>
      <x:c r="G13" s="316"/>
    </x:row>
    <x:row r="14" ht="43.5" customHeight="1">
      <x:c r="A14" s="1366" t="str">
        <x:v>No employees</x:v>
      </x:c>
      <x:c r="B14" s="1342" t="str">
        <x:v>Founder payroll/draw defaults to $0. Edit Exec row Founder payroll / draw if you want to model paying yourself.</x:v>
      </x:c>
      <x:c r="C14" s="1347"/>
      <x:c r="D14" s="854"/>
      <x:c r="E14" s="316"/>
      <x:c r="F14" s="316"/>
      <x:c r="G14" s="316"/>
    </x:row>
    <x:row r="15" ht="43.5" customHeight="1">
      <x:c r="A15" s="1367" t="str">
        <x:v>Revenue basis</x:v>
      </x:c>
      <x:c r="B15" s="1035" t="str">
        <x:v>Gross revenue includes sponsor revenue, user commitment fees, Pro subscriptions, and consumables.</x:v>
      </x:c>
      <x:c r="C15" s="1348"/>
      <x:c r="D15" s="856"/>
      <x:c r="E15" s="316"/>
      <x:c r="F15" s="316"/>
      <x:c r="G15" s="316"/>
    </x:row>
    <x:row r="16" ht="43.5" customHeight="1">
      <x:c r="A16" s="1367" t="str">
        <x:v>Costs</x:v>
      </x:c>
      <x:c r="B16" s="1035" t="str">
        <x:v>Operating costs include rebates, processing reserve, app store fees, server/infra, tools, UGC budget, legal/admin, and founder draw.</x:v>
      </x:c>
      <x:c r="C16" s="1348"/>
      <x:c r="D16" s="856"/>
      <x:c r="E16" s="316"/>
      <x:c r="F16" s="316"/>
      <x:c r="G16" s="316"/>
    </x:row>
    <x:row r="17" ht="43.5" customHeight="1">
      <x:c r="A17" s="1368" t="str">
        <x:v>Google Sheets import</x:v>
      </x:c>
      <x:c r="B17" s="1345" t="str">
        <x:v>Workbook uses standard formulas and dropdowns that should import into Google Sheets. Some Excel chart styling may render differently after import.</x:v>
      </x:c>
      <x:c r="C17" s="1349"/>
      <x:c r="D17" s="859"/>
      <x:c r="E17" s="316"/>
      <x:c r="F17" s="316"/>
      <x:c r="G17" s="316"/>
    </x:row>
  </x:sheetData>
  <x:mergeCells>
    <x:mergeCell ref="A1:D1"/>
    <x:mergeCell ref="A2:D2"/>
    <x:mergeCell ref="A4:G4"/>
    <x:mergeCell ref="A12:G1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.43000030517578" hidden="0" customWidth="1"/>
    <x:col min="2" max="2" width="17.860000610351562" hidden="0" customWidth="1"/>
    <x:col min="3" max="3" width="17.860000610351562" hidden="0" customWidth="1"/>
    <x:col min="4" max="4" width="17.860000610351562" hidden="0" customWidth="1"/>
    <x:col min="5" max="5" width="16.43000030517578" hidden="0" customWidth="1"/>
    <x:col min="6" max="6" width="16.43000030517578" hidden="0" customWidth="1"/>
    <x:col min="7" max="7" width="65" hidden="0" customWidth="1"/>
  </x:cols>
  <x:sheetData>
    <x:row r="1" ht="25.5" customHeight="1">
      <x:c r="A1" s="1310" t="str">
        <x:v>Model Checks</x:v>
      </x:c>
      <x:c r="B1" s="1310"/>
      <x:c r="C1" s="1310"/>
      <x:c r="D1" s="1310"/>
      <x:c r="E1" s="1310"/>
      <x:c r="F1" s="1310"/>
      <x:c r="G1" s="697"/>
      <x:c r="H1" s="698"/>
      <x:c r="I1" s="698"/>
      <x:c r="J1" s="698"/>
      <x:c r="K1" s="698"/>
      <x:c r="L1" s="698"/>
      <x:c r="M1" s="698"/>
      <x:c r="N1" s="698"/>
      <x:c r="O1" s="698"/>
      <x:c r="P1" s="698"/>
      <x:c r="Q1" s="698"/>
      <x:c r="R1" s="698"/>
      <x:c r="S1" s="698"/>
      <x:c r="T1" s="698"/>
      <x:c r="U1" s="698"/>
      <x:c r="V1" s="698"/>
      <x:c r="W1" s="698"/>
      <x:c r="X1" s="698"/>
      <x:c r="Y1" s="698"/>
      <x:c r="Z1" s="698"/>
    </x:row>
    <x:row r="2" ht="30" customHeight="1">
      <x:c r="A2" s="1312" t="str">
        <x:v>Basic tie-outs and readiness checks. Status should show OK before using the model for decisions.</x:v>
      </x:c>
      <x:c r="B2" s="1312"/>
      <x:c r="C2" s="1312"/>
      <x:c r="D2" s="1312"/>
      <x:c r="E2" s="1312"/>
      <x:c r="F2" s="1312"/>
      <x:c r="G2" s="938"/>
      <x:c r="H2" s="939"/>
      <x:c r="I2" s="939"/>
      <x:c r="J2" s="939"/>
      <x:c r="K2" s="939"/>
      <x:c r="L2" s="939"/>
      <x:c r="M2" s="939"/>
      <x:c r="N2" s="939"/>
      <x:c r="O2" s="939"/>
      <x:c r="P2" s="939"/>
      <x:c r="Q2" s="939"/>
      <x:c r="R2" s="939"/>
      <x:c r="S2" s="939"/>
      <x:c r="T2" s="939"/>
      <x:c r="U2" s="939"/>
      <x:c r="V2" s="939"/>
      <x:c r="W2" s="939"/>
      <x:c r="X2" s="939"/>
      <x:c r="Y2" s="939"/>
      <x:c r="Z2" s="939"/>
    </x:row>
    <x:row r="3">
      <x:c r="A3" s="700"/>
      <x:c r="B3" s="700"/>
      <x:c r="C3" s="700"/>
      <x:c r="D3" s="700"/>
      <x:c r="E3" s="700"/>
      <x:c r="F3" s="700"/>
      <x:c r="G3" s="700"/>
      <x:c r="H3" s="698"/>
      <x:c r="I3" s="698"/>
      <x:c r="J3" s="698"/>
      <x:c r="K3" s="698"/>
      <x:c r="L3" s="698"/>
      <x:c r="M3" s="698"/>
      <x:c r="N3" s="698"/>
      <x:c r="O3" s="698"/>
      <x:c r="P3" s="698"/>
      <x:c r="Q3" s="698"/>
      <x:c r="R3" s="698"/>
      <x:c r="S3" s="698"/>
      <x:c r="T3" s="698"/>
      <x:c r="U3" s="698"/>
      <x:c r="V3" s="698"/>
      <x:c r="W3" s="698"/>
      <x:c r="X3" s="698"/>
      <x:c r="Y3" s="698"/>
      <x:c r="Z3" s="698"/>
    </x:row>
    <x:row r="4">
      <x:c r="A4" s="1315" t="str">
        <x:v>Formula And Logic Checks</x:v>
      </x:c>
      <x:c r="B4" s="1315"/>
      <x:c r="C4" s="1315"/>
      <x:c r="D4" s="1315"/>
      <x:c r="E4" s="1315"/>
      <x:c r="F4" s="1315"/>
      <x:c r="G4" s="1315"/>
    </x:row>
    <x:row r="5" ht="22.5" customHeight="1">
      <x:c r="A5" s="318" t="str">
        <x:v>Check</x:v>
      </x:c>
      <x:c r="B5" s="319" t="str">
        <x:v>Actual</x:v>
      </x:c>
      <x:c r="C5" s="319" t="str">
        <x:v>Expected</x:v>
      </x:c>
      <x:c r="D5" s="319" t="str">
        <x:v>Difference</x:v>
      </x:c>
      <x:c r="E5" s="319" t="str">
        <x:v>Tolerance</x:v>
      </x:c>
      <x:c r="F5" s="319" t="str">
        <x:v>Status</x:v>
      </x:c>
      <x:c r="G5" s="320" t="str">
        <x:v>Notes</x:v>
      </x:c>
    </x:row>
    <x:row r="6" ht="27" customHeight="1">
      <x:c r="A6" s="267" t="str">
        <x:v>Region mix sums to 100%</x:v>
      </x:c>
      <x:c r="B6" s="862" t="n">
        <x:f>Regions!D10</x:f>
        <x:v>1</x:v>
      </x:c>
      <x:c r="C6" s="863" t="n">
        <x:v>1</x:v>
      </x:c>
      <x:c r="D6" s="863" t="n">
        <x:f>B6-C6</x:f>
        <x:v>0</x:v>
      </x:c>
      <x:c r="E6" s="863" t="n">
        <x:v>0.0001</x:v>
      </x:c>
      <x:c r="F6" s="864" t="str">
        <x:f>IF(ABS(D6)&lt;=E6,"OK","Check")</x:f>
        <x:v>OK</x:v>
      </x:c>
      <x:c r="G6" s="269" t="str">
        <x:v>Adjust Regions manual mix overrides if this fails.</x:v>
      </x:c>
    </x:row>
    <x:row r="7" ht="27" customHeight="1">
      <x:c r="A7" s="270" t="str">
        <x:v>Exec total gross revenue sums components</x:v>
      </x:c>
      <x:c r="B7" s="865" t="n">
        <x:f>Exec!B46</x:f>
        <x:v>995650</x:v>
      </x:c>
      <x:c r="C7" s="866" t="n">
        <x:f>SUM(Exec!B42:B45)</x:f>
        <x:v>995650</x:v>
      </x:c>
      <x:c r="D7" s="866" t="n">
        <x:f>B7-C7</x:f>
        <x:v>0</x:v>
      </x:c>
      <x:c r="E7" s="866" t="n">
        <x:v>1</x:v>
      </x:c>
      <x:c r="F7" s="867" t="str">
        <x:f>IF(ABS(D7)&lt;=E7,"OK","Check")</x:f>
        <x:v>OK</x:v>
      </x:c>
      <x:c r="G7" s="272" t="str">
        <x:v>Revenue summary tie-out.</x:v>
      </x:c>
    </x:row>
    <x:row r="8" ht="27" customHeight="1">
      <x:c r="A8" s="270" t="str">
        <x:v>Exec total costs sum components</x:v>
      </x:c>
      <x:c r="B8" s="865" t="n">
        <x:f>Exec!B55</x:f>
        <x:v>317697.5</x:v>
      </x:c>
      <x:c r="C8" s="866" t="n">
        <x:f>SUM(Exec!B47:B54)</x:f>
        <x:v>317697.5</x:v>
      </x:c>
      <x:c r="D8" s="866" t="n">
        <x:f>B8-C8</x:f>
        <x:v>0</x:v>
      </x:c>
      <x:c r="E8" s="866" t="n">
        <x:v>1</x:v>
      </x:c>
      <x:c r="F8" s="867" t="str">
        <x:f>IF(ABS(D8)&lt;=E8,"OK","Check")</x:f>
        <x:v>OK</x:v>
      </x:c>
      <x:c r="G8" s="272" t="str">
        <x:v>Cost summary tie-out.</x:v>
      </x:c>
    </x:row>
    <x:row r="9" ht="27" customHeight="1">
      <x:c r="A9" s="270" t="str">
        <x:v>Operating profit ties</x:v>
      </x:c>
      <x:c r="B9" s="865" t="n">
        <x:f>Exec!B56</x:f>
        <x:v>677952.5</x:v>
      </x:c>
      <x:c r="C9" s="866" t="n">
        <x:f>Exec!B46-Exec!B55</x:f>
        <x:v>677952.5</x:v>
      </x:c>
      <x:c r="D9" s="866" t="n">
        <x:f>B9-C9</x:f>
        <x:v>0</x:v>
      </x:c>
      <x:c r="E9" s="866" t="n">
        <x:v>1</x:v>
      </x:c>
      <x:c r="F9" s="867" t="str">
        <x:f>IF(ABS(D9)&lt;=E9,"OK","Check")</x:f>
        <x:v>OK</x:v>
      </x:c>
      <x:c r="G9" s="272" t="str">
        <x:v>Profit calculation tie-out.</x:v>
      </x:c>
    </x:row>
    <x:row r="10" ht="27" customHeight="1">
      <x:c r="A10" s="270" t="str">
        <x:v>Founder payroll is zero by default</x:v>
      </x:c>
      <x:c r="B10" s="865" t="n">
        <x:f>Exec!D31</x:f>
        <x:v>0</x:v>
      </x:c>
      <x:c r="C10" s="866" t="n">
        <x:v>0</x:v>
      </x:c>
      <x:c r="D10" s="866" t="n">
        <x:f>B10-C10</x:f>
        <x:v>0</x:v>
      </x:c>
      <x:c r="E10" s="866" t="n">
        <x:v>1</x:v>
      </x:c>
      <x:c r="F10" s="867" t="str">
        <x:f>IF(ABS(D10)&lt;=E10,"OK","Review")</x:f>
        <x:v>OK</x:v>
      </x:c>
      <x:c r="G10" s="272" t="str">
        <x:v>User said no employees; this can be overridden.</x:v>
      </x:c>
    </x:row>
    <x:row r="11" ht="27" customHeight="1">
      <x:c r="A11" s="273" t="str">
        <x:v>No negative challenge entrants</x:v>
      </x:c>
      <x:c r="B11" s="868" t="n">
        <x:f>Exec!B40</x:f>
        <x:v>100000</x:v>
      </x:c>
      <x:c r="C11" s="869" t="n">
        <x:v>0</x:v>
      </x:c>
      <x:c r="D11" s="869" t="n">
        <x:f>MIN(B11-C11,0)</x:f>
        <x:v>0</x:v>
      </x:c>
      <x:c r="E11" s="869" t="n">
        <x:v>0</x:v>
      </x:c>
      <x:c r="F11" s="870" t="str">
        <x:f>IF(B11&gt;=0,"OK","Check")</x:f>
        <x:v>OK</x:v>
      </x:c>
      <x:c r="G11" s="275" t="str">
        <x:v>Entrants should not be negative.</x:v>
      </x:c>
    </x:row>
    <x:row r="12">
      <x:c r="A12" s="316"/>
      <x:c r="B12" s="316"/>
      <x:c r="C12" s="316"/>
      <x:c r="D12" s="316"/>
      <x:c r="E12" s="316"/>
      <x:c r="F12" s="316"/>
      <x:c r="G12" s="316"/>
    </x:row>
    <x:row r="13">
      <x:c r="A13" s="316"/>
      <x:c r="B13" s="316"/>
      <x:c r="C13" s="316"/>
      <x:c r="D13" s="316"/>
      <x:c r="E13" s="316"/>
      <x:c r="F13" s="316"/>
      <x:c r="G13" s="316"/>
    </x:row>
    <x:row r="14" ht="22.5" customHeight="1">
      <x:c r="A14" s="404" t="str">
        <x:v>Overall Model Status</x:v>
      </x:c>
      <x:c r="B14" s="871" t="str">
        <x:f>IF(COUNTIF(F6:F11,"Check")=0,"OK","Review failed checks")</x:f>
        <x:v>OK</x:v>
      </x:c>
      <x:c r="C14" s="872"/>
      <x:c r="D14" s="872"/>
      <x:c r="E14" s="872"/>
      <x:c r="F14" s="873"/>
      <x:c r="G14" s="316"/>
    </x:row>
  </x:sheetData>
  <x:mergeCells>
    <x:mergeCell ref="A1:F1"/>
    <x:mergeCell ref="A2:F2"/>
    <x:mergeCell ref="A4:G4"/>
  </x:mergeCells>
  <x:conditionalFormatting sqref="F6:F11">
    <x:cfRule type="containsText" dxfId="4" priority="1" operator="containsText" text="OK"/>
    <x:cfRule type="containsText" dxfId="5" priority="2" operator="containsText" text="Check"/>
    <x:cfRule type="containsText" dxfId="6" priority="3" operator="containsText" text="Review"/>
  </x:conditionalFormatting>
  <x:pageMargins left="0.7" right="0.7" top="0.75" bottom="0.75" header="0.3" footer="0.3"/>
</x:worksheet>
</file>