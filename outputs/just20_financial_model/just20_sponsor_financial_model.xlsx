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284f0311c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 Summary" sheetId="1" r:id="Rd59de5484b7445c2"/>
    <x:sheet xmlns:r="http://schemas.openxmlformats.org/officeDocument/2006/relationships" name="Scenario_Model" sheetId="2" r:id="R043891f57510402d"/>
    <x:sheet xmlns:r="http://schemas.openxmlformats.org/officeDocument/2006/relationships" name="Assumptions" sheetId="3" r:id="Rf344194b4fb94d4d"/>
    <x:sheet xmlns:r="http://schemas.openxmlformats.org/officeDocument/2006/relationships" name="Revenue_Build" sheetId="4" r:id="Rec66042fbf3f4007"/>
    <x:sheet xmlns:r="http://schemas.openxmlformats.org/officeDocument/2006/relationships" name="Locale_Mix" sheetId="5" r:id="Rbc13bba5c9b14efe"/>
    <x:sheet xmlns:r="http://schemas.openxmlformats.org/officeDocument/2006/relationships" name="Sponsor_Model" sheetId="6" r:id="R232b3812f3074dab"/>
    <x:sheet xmlns:r="http://schemas.openxmlformats.org/officeDocument/2006/relationships" name="Sources" sheetId="7" r:id="Rd69096339d95489b"/>
    <x:sheet xmlns:r="http://schemas.openxmlformats.org/officeDocument/2006/relationships" name="Checks" sheetId="8" r:id="R8c589ccb6a9f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.0%"/>
    <x:numFmt numFmtId="202" formatCode="$0.00"/>
    <x:numFmt numFmtId="203" formatCode="$0.000"/>
    <x:numFmt numFmtId="204" formatCode="0"/>
    <x:numFmt numFmtId="205" formatCode="$#,##0"/>
    <x:numFmt numFmtId="206" formatCode="#,##0.00"/>
    <x:numFmt numFmtId="207" formatCode="0.00x"/>
    <x:numFmt numFmtId="208" formatCode="0.00"/>
  </x:numFmts>
  <x:fonts count="7">
    <x:font>
      <x:sz val="11"/>
      <x:name val="Carlito"/>
    </x:font>
    <x:font>
      <x:sz val="10"/>
      <x:color rgb="171717"/>
      <x:name val="Aptos"/>
    </x:font>
    <x:font>
      <x:b/>
      <x:sz val="18"/>
      <x:color rgb="FFFFFF"/>
      <x:name val="Aptos Display"/>
    </x:font>
    <x:font>
      <x:sz val="10"/>
      <x:color rgb="6B625B"/>
      <x:name val="Aptos"/>
    </x:font>
    <x:font>
      <x:b/>
      <x:sz val="12"/>
      <x:color rgb="171717"/>
      <x:name val="Aptos"/>
    </x:font>
    <x:font>
      <x:b/>
      <x:sz val="10"/>
      <x:color rgb="FFFFFF"/>
      <x:name val="Aptos"/>
    </x:font>
    <x:font>
      <x:b/>
      <x:sz val="10"/>
      <x:color rgb="17171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20201E"/>
      </x:patternFill>
    </x:fill>
    <x:fill>
      <x:patternFill patternType="solid">
        <x:fgColor rgb="F7F4EA"/>
      </x:patternFill>
    </x:fill>
    <x:fill>
      <x:patternFill patternType="solid">
        <x:fgColor rgb="6FCF97"/>
      </x:patternFill>
    </x:fill>
    <x:fill>
      <x:patternFill patternType="solid">
        <x:fgColor rgb="FFFDF5"/>
      </x:patternFill>
    </x:fill>
    <x:fill>
      <x:patternFill patternType="solid">
        <x:fgColor rgb="5D8AA8"/>
      </x:patternFill>
    </x:fill>
    <x:fill>
      <x:patternFill patternType="solid">
        <x:fgColor rgb="FFE08A"/>
      </x:patternFill>
    </x:fill>
  </x:fills>
  <x:borders count="4">
    <x:border/>
    <x:border>
      <x:left style="thin">
        <x:color rgb="D9D0BD"/>
      </x:left>
      <x:right style="thin">
        <x:color rgb="D9D0BD"/>
      </x:right>
      <x:top style="thin">
        <x:color rgb="D9D0BD"/>
      </x:top>
      <x:bottom style="thin">
        <x:color rgb="D9D0BD"/>
      </x:bottom>
    </x:border>
    <x:border>
      <x:left style="thin">
        <x:color rgb="3F6E8D"/>
      </x:left>
      <x:right style="thin">
        <x:color rgb="3F6E8D"/>
      </x:right>
      <x:top style="thin">
        <x:color rgb="3F6E8D"/>
      </x:top>
      <x:bottom style="thin">
        <x:color rgb="3F6E8D"/>
      </x:bottom>
    </x:border>
    <x:border>
      <x:left style="thin">
        <x:color rgb="D8BB47"/>
      </x:left>
      <x:right style="thin">
        <x:color rgb="D8BB47"/>
      </x:right>
      <x:top style="thin">
        <x:color rgb="D8BB47"/>
      </x:top>
      <x:bottom style="thin">
        <x:color rgb="D8BB47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left" vertical="center"/>
    </x:xf>
    <x:xf numFmtId="202" fontId="2" fillId="2" borderId="0" xfId="0" applyNumberFormat="1" applyFont="1" applyFill="1" applyBorder="1" applyAlignment="1">
      <x:alignment horizontal="left" vertical="center"/>
    </x:xf>
    <x:xf numFmtId="203" fontId="2" fillId="2" borderId="0" xfId="0" applyNumberFormat="1" applyFont="1" applyFill="1" applyBorder="1" applyAlignment="1">
      <x:alignment horizontal="left" vertical="center"/>
    </x:xf>
    <x:xf numFmtId="204" fontId="2" fillId="2" borderId="0" xfId="0" applyNumberFormat="1" applyFont="1" applyFill="1" applyBorder="1" applyAlignment="1">
      <x:alignment horizontal="left" vertical="center"/>
    </x:xf>
    <x:xf numFmtId="205" fontId="2" fillId="2" borderId="0" xfId="0" applyNumberFormat="1" applyFont="1" applyFill="1" applyBorder="1" applyAlignment="1">
      <x:alignment horizontal="left" vertical="center"/>
    </x:xf>
    <x:xf numFmtId="206" fontId="2" fillId="2" borderId="0" xfId="0" applyNumberFormat="1" applyFont="1" applyFill="1" applyBorder="1" applyAlignment="1">
      <x:alignment horizontal="left"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/>
    </x:xf>
    <x:xf numFmtId="205" fontId="1" fillId="5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2" fontId="1" fillId="5" borderId="1" xfId="0" applyNumberFormat="1" applyFont="1" applyFill="1" applyBorder="1" applyAlignment="1">
      <x:alignment vertical="center"/>
    </x:xf>
    <x:xf numFmtId="207" fontId="1" fillId="5" borderId="1" xfId="0" applyNumberFormat="1" applyFont="1" applyFill="1" applyBorder="1" applyAlignment="1">
      <x:alignment vertical="center"/>
    </x:xf>
    <x:xf numFmtId="208" fontId="1" fillId="5" borderId="1" xfId="0" applyNumberFormat="1" applyFont="1" applyFill="1" applyBorder="1" applyAlignment="1">
      <x:alignment vertical="center"/>
    </x:xf>
    <x:xf numFmtId="203" fontId="1" fillId="5" borderId="1" xfId="0" applyNumberFormat="1" applyFont="1" applyFill="1" applyBorder="1" applyAlignment="1">
      <x:alignment vertical="center"/>
    </x:xf>
    <x:xf numFmtId="206" fontId="1" fillId="5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207" fontId="2" fillId="2" borderId="0" xfId="0" applyNumberFormat="1" applyFont="1" applyFill="1" applyBorder="1" applyAlignment="1">
      <x:alignment horizontal="left" vertical="center"/>
    </x:xf>
    <x:xf numFmtId="0" fontId="1" fillId="7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9D2B24"/>
      </x:font>
      <x:fill>
        <x:patternFill patternType="solid">
          <x:bgColor rgb="FDE2DF"/>
        </x:patternFill>
      </x:fill>
    </x:dxf>
    <x:dxf>
      <x:font>
        <x:b/>
        <x:color rgb="9D2B24"/>
      </x:font>
      <x:fill>
        <x:patternFill patternType="solid">
          <x:bgColor rgb="FDE2DF"/>
        </x:patternFill>
      </x:fill>
    </x:dxf>
    <x:dxf>
      <x:font>
        <x:b/>
        <x:color rgb="9D2B24"/>
      </x:font>
      <x:fill>
        <x:patternFill patternType="solid">
          <x:bgColor rgb="FDE2DF"/>
        </x:patternFill>
      </x:fill>
    </x:dxf>
    <x:dxf>
      <x:font>
        <x:b/>
        <x:color rgb="166534"/>
      </x:font>
      <x:fill>
        <x:patternFill patternType="solid">
          <x:bgColor rgb="DDF6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95f2dbeb54989" /><Relationship Type="http://schemas.openxmlformats.org/officeDocument/2006/relationships/theme" Target="/xl/theme/theme1.xml" Id="R62f89dbbd3a74ffc" /><Relationship Type="http://schemas.openxmlformats.org/officeDocument/2006/relationships/sharedStrings" Target="/xl/sharedStrings.xml" Id="R37bb56cbd24c400e" /><Relationship Type="http://schemas.openxmlformats.org/officeDocument/2006/relationships/worksheet" Target="/xl/worksheets/sheet1.xml" Id="Rd59de5484b7445c2" /><Relationship Type="http://schemas.openxmlformats.org/officeDocument/2006/relationships/worksheet" Target="/xl/worksheets/sheet2.xml" Id="R043891f57510402d" /><Relationship Type="http://schemas.openxmlformats.org/officeDocument/2006/relationships/worksheet" Target="/xl/worksheets/sheet3.xml" Id="Rf344194b4fb94d4d" /><Relationship Type="http://schemas.openxmlformats.org/officeDocument/2006/relationships/worksheet" Target="/xl/worksheets/sheet4.xml" Id="Rec66042fbf3f4007" /><Relationship Type="http://schemas.openxmlformats.org/officeDocument/2006/relationships/worksheet" Target="/xl/worksheets/sheet5.xml" Id="Rbc13bba5c9b14efe" /><Relationship Type="http://schemas.openxmlformats.org/officeDocument/2006/relationships/worksheet" Target="/xl/worksheets/sheet6.xml" Id="R232b3812f3074dab" /><Relationship Type="http://schemas.openxmlformats.org/officeDocument/2006/relationships/worksheet" Target="/xl/worksheets/sheet7.xml" Id="Rd69096339d95489b" /><Relationship Type="http://schemas.openxmlformats.org/officeDocument/2006/relationships/worksheet" Target="/xl/worksheets/sheet8.xml" Id="R8c589ccb6a9f43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6d5501bfa34ab5" /><Relationship Type="http://schemas.openxmlformats.org/officeDocument/2006/relationships/chart" Target="/xl/drawings/charts/chart2.xml" Id="R1e0164749f8e40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Revenue Mix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Sponsor Revenue</c:v>
          </c:tx>
          <c:cat>
            <c:strLit>
              <c:ptCount val="4"/>
              <c:pt idx="0">
                <c:v>Bear</c:v>
              </c:pt>
              <c:pt idx="1">
                <c:v>Realistic</c:v>
              </c:pt>
              <c:pt idx="2">
                <c:v>Bull</c:v>
              </c:pt>
              <c:pt idx="3">
                <c:v>Breakout</c:v>
              </c:pt>
            </c:strLit>
          </c:cat>
          <c:val>
            <c:numLit>
              <c:formatCode/>
              <c:ptCount val="4"/>
              <c:pt idx="0">
                <c:v>1520</c:v>
              </c:pt>
              <c:pt idx="1">
                <c:v>75468</c:v>
              </c:pt>
              <c:pt idx="2">
                <c:v>1779952</c:v>
              </c:pt>
              <c:pt idx="3">
                <c:v>14546208</c:v>
              </c:pt>
            </c:numLit>
          </c:val>
        </c:ser>
        <c:ser>
          <c:idx val="1"/>
          <c:order val="1"/>
          <c:tx>
            <c:v>Sub + Shop Revenue</c:v>
          </c:tx>
          <c:cat>
            <c:strLit>
              <c:ptCount val="4"/>
              <c:pt idx="0">
                <c:v>Bear</c:v>
              </c:pt>
              <c:pt idx="1">
                <c:v>Realistic</c:v>
              </c:pt>
              <c:pt idx="2">
                <c:v>Bull</c:v>
              </c:pt>
              <c:pt idx="3">
                <c:v>Breakout</c:v>
              </c:pt>
            </c:strLit>
          </c:cat>
          <c:val>
            <c:numLit>
              <c:formatCode/>
              <c:ptCount val="4"/>
              <c:pt idx="0">
                <c:v>611</c:v>
              </c:pt>
              <c:pt idx="1">
                <c:v>10994</c:v>
              </c:pt>
              <c:pt idx="2">
                <c:v>159810</c:v>
              </c:pt>
              <c:pt idx="3">
                <c:v>1851816</c:v>
              </c:pt>
            </c:numLit>
          </c:val>
        </c:ser>
        <c:ser>
          <c:idx val="2"/>
          <c:order val="2"/>
          <c:tx>
            <c:v>Net Operating Income</c:v>
          </c:tx>
          <c:cat>
            <c:strLit>
              <c:ptCount val="4"/>
              <c:pt idx="0">
                <c:v>Bear</c:v>
              </c:pt>
              <c:pt idx="1">
                <c:v>Realistic</c:v>
              </c:pt>
              <c:pt idx="2">
                <c:v>Bull</c:v>
              </c:pt>
              <c:pt idx="3">
                <c:v>Breakout</c:v>
              </c:pt>
            </c:strLit>
          </c:cat>
          <c:val>
            <c:numLit>
              <c:formatCode/>
              <c:ptCount val="4"/>
              <c:pt idx="0">
                <c:v>-312039</c:v>
              </c:pt>
              <c:pt idx="1">
                <c:v>-547328</c:v>
              </c:pt>
              <c:pt idx="2">
                <c:v>45670</c:v>
              </c:pt>
              <c:pt idx="3">
                <c:v>9762916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M1 To M12 MAU By Scenario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M1 MAU</c:v>
          </c:tx>
          <c:cat>
            <c:strLit>
              <c:ptCount val="4"/>
              <c:pt idx="0">
                <c:v>Bear</c:v>
              </c:pt>
              <c:pt idx="1">
                <c:v>Realistic</c:v>
              </c:pt>
              <c:pt idx="2">
                <c:v>Bull</c:v>
              </c:pt>
              <c:pt idx="3">
                <c:v>Breakout</c:v>
              </c:pt>
            </c:strLit>
          </c:cat>
          <c:val>
            <c:numLit>
              <c:formatCode/>
              <c:ptCount val="4"/>
              <c:pt idx="0">
                <c:v>500</c:v>
              </c:pt>
              <c:pt idx="1">
                <c:v>1500</c:v>
              </c:pt>
              <c:pt idx="2">
                <c:v>5000</c:v>
              </c:pt>
              <c:pt idx="3">
                <c:v>15000</c:v>
              </c:pt>
            </c:numLit>
          </c:val>
          <c:smooth val="0"/>
        </c:ser>
        <c:ser>
          <c:idx val="1"/>
          <c:order val="1"/>
          <c:tx>
            <c:v>M12 MAU</c:v>
          </c:tx>
          <c:cat>
            <c:strLit>
              <c:ptCount val="4"/>
              <c:pt idx="0">
                <c:v>Bear</c:v>
              </c:pt>
              <c:pt idx="1">
                <c:v>Realistic</c:v>
              </c:pt>
              <c:pt idx="2">
                <c:v>Bull</c:v>
              </c:pt>
              <c:pt idx="3">
                <c:v>Breakout</c:v>
              </c:pt>
            </c:strLit>
          </c:cat>
          <c:val>
            <c:numLit>
              <c:formatCode/>
              <c:ptCount val="4"/>
              <c:pt idx="0">
                <c:v>3088</c:v>
              </c:pt>
              <c:pt idx="1">
                <c:v>22667</c:v>
              </c:pt>
              <c:pt idx="2">
                <c:v>147197</c:v>
              </c:pt>
              <c:pt idx="3">
                <c:v>1038920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39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6d5501bfa34ab5"/>
        </a:graphicData>
      </a:graphic>
    </xdr:graphicFrame>
    <xdr:clientData/>
  </xdr:oneCellAnchor>
  <xdr:oneCellAnchor>
    <xdr:from>
      <xdr:col>7</xdr:col>
      <xdr:colOff>0</xdr:colOff>
      <xdr:row>39</xdr:row>
      <xdr:rowOff>0</xdr:rowOff>
    </xdr:from>
    <xdr:ext cx="6191250" cy="2952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0164749f8e405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2c76aaf5884a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0.25" hidden="0" customWidth="1"/>
    <x:col min="3" max="3" width="22.09000015258789" hidden="0" customWidth="1"/>
    <x:col min="4" max="4" width="22.09000015258789" hidden="0" customWidth="1"/>
    <x:col min="5" max="5" width="14.720000267028809" hidden="0" customWidth="1"/>
    <x:col min="6" max="6" width="14.720000267028809" hidden="0" customWidth="1"/>
    <x:col min="7" max="7" width="14.720000267028809" hidden="0" customWidth="1"/>
    <x:col min="8" max="8" width="14.720000267028809" hidden="0" customWidth="1"/>
    <x:col min="9" max="9" width="14.720000267028809" hidden="0" customWidth="1"/>
    <x:col min="10" max="10" width="14.720000267028809" hidden="0" customWidth="1"/>
    <x:col min="11" max="11" width="14.720000267028809" hidden="0" customWidth="1"/>
    <x:col min="12" max="12" width="14.720000267028809" hidden="0" customWidth="1"/>
    <x:col min="13" max="13" width="14.720000267028809" hidden="0" customWidth="1"/>
    <x:col min="14" max="14" width="43.560001373291016" hidden="0" customWidth="1"/>
  </x:cols>
  <x:sheetData>
    <x:row r="1" ht="28.5" customHeight="1">
      <x:c r="A1" s="6" t="str">
        <x:v>Just 20 Financial Model - Tuned Exec Summary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28.5" customHeight="1">
      <x:c r="A2" s="10" t="str">
        <x:v>Closed-beta first. Default case is Realistic, with Bear / Bull / Breakout available for downside and upside planning.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18" customHeight="1"/>
    <x:row r="4" ht="18" customHeight="1">
      <x:c r="A4" s="14" t="str">
        <x:v>Control Panel</x:v>
      </x:c>
      <x:c r="B4" s="14"/>
      <x:c r="C4" s="14"/>
      <x:c r="D4" s="14"/>
    </x:row>
    <x:row r="5" ht="18" customHeight="1">
      <x:c r="A5" s="23" t="str">
        <x:v>Control</x:v>
      </x:c>
      <x:c r="B5" s="23" t="str">
        <x:v>Selection</x:v>
      </x:c>
      <x:c r="C5" s="23" t="str">
        <x:v>How to use</x:v>
      </x:c>
      <x:c r="D5" s="23" t="str"/>
    </x:row>
    <x:row r="6" ht="24" customHeight="1">
      <x:c r="A6" s="18" t="str">
        <x:v>Selected Scenario</x:v>
      </x:c>
      <x:c r="B6" s="44" t="str">
        <x:v>Realistic</x:v>
      </x:c>
      <x:c r="C6" s="31" t="str">
        <x:v>Dropdown: Bear / Realistic / Bull / Breakout.</x:v>
      </x:c>
      <x:c r="D6" s="31" t="str"/>
    </x:row>
    <x:row r="7" ht="24" customHeight="1">
      <x:c r="A7" s="18" t="str">
        <x:v>Launch Locale Posture</x:v>
      </x:c>
      <x:c r="B7" s="44" t="str">
        <x:v>US-first + Korea secondary</x:v>
      </x:c>
      <x:c r="C7" s="31" t="str">
        <x:v>Workbook keeps USD base currency and exposes KRW translation.</x:v>
      </x:c>
      <x:c r="D7" s="31" t="str"/>
    </x:row>
    <x:row r="8" ht="24" customHeight="1">
      <x:c r="A8" s="18" t="str">
        <x:v>Model Currency</x:v>
      </x:c>
      <x:c r="B8" s="44" t="str">
        <x:v>USD</x:v>
      </x:c>
      <x:c r="C8" s="31" t="str">
        <x:v>Do not mix local-currency revenue without updating Locale_Mix.</x:v>
      </x:c>
      <x:c r="D8" s="31" t="str"/>
    </x:row>
    <x:row r="9" ht="24" customHeight="1">
      <x:c r="A9" s="18" t="str">
        <x:v>Cash Commitment Fees</x:v>
      </x:c>
      <x:c r="B9" s="44" t="str">
        <x:v>Off in MVP</x:v>
      </x:c>
      <x:c r="C9" s="31" t="str">
        <x:v>Can be enabled later in Assumptions rows AC:AD.</x:v>
      </x:c>
      <x:c r="D9" s="31" t="str"/>
    </x:row>
    <x:row r="10" ht="24" customHeight="1">
      <x:c r="A10" s="18" t="str">
        <x:v>Last Tuned</x:v>
      </x:c>
      <x:c r="B10" s="44" t="str">
        <x:v>2026-04-28</x:v>
      </x:c>
      <x:c r="C10" s="31" t="str">
        <x:v>Refresh CPI, FX, platform pricing, and subscription benchmarks before fundraising/investor use.</x:v>
      </x:c>
      <x:c r="D10" s="31" t="str"/>
    </x:row>
    <x:row r="11" ht="18" customHeight="1"/>
    <x:row r="12" ht="18" customHeight="1">
      <x:c r="A12" s="14" t="str">
        <x:v>Executive KPI Snapshot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</x:row>
    <x:row r="13" ht="18" customHeight="1">
      <x:c r="A13" s="23" t="str">
        <x:v>Metric</x:v>
      </x:c>
      <x:c r="B13" s="23" t="str">
        <x:v>Selected Value</x:v>
      </x:c>
      <x:c r="C13" s="23" t="str">
        <x:v>Planning Read</x:v>
      </x:c>
      <x:c r="D13" s="23"/>
      <x:c r="E13" s="14" t="str">
        <x:v>Strategic Read</x:v>
      </x:c>
      <x:c r="F13" s="14"/>
      <x:c r="G13" s="14"/>
      <x:c r="H13" s="14"/>
      <x:c r="I13" s="14"/>
      <x:c r="J13" s="14"/>
      <x:c r="K13" s="14"/>
      <x:c r="L13" s="14"/>
      <x:c r="M13" s="14"/>
      <x:c r="N13" s="14"/>
    </x:row>
    <x:row r="14" ht="28.5" customHeight="1">
      <x:c r="A14" s="18" t="str">
        <x:v>M12 MAU</x:v>
      </x:c>
      <x:c r="B14" s="32" t="n">
        <x:f>INDEX(Scenario_Model!$C$6:$C$9,MATCH($B$6,Scenario_Model!$A$6:$A$9,0))</x:f>
        <x:v>22667</x:v>
      </x:c>
      <x:c r="C14" s="31" t="str">
        <x:v>Scale reached by month 12 under selected scenario.</x:v>
      </x:c>
      <x:c r="D14" s="31"/>
      <x:c r="E14" s="46" t="str">
        <x:v>Product: trust-first MVP; real-device camera testing and fallback counting remain the gating risk.</x:v>
      </x:c>
      <x:c r="F14" s="46"/>
      <x:c r="G14" s="46"/>
      <x:c r="H14" s="46"/>
      <x:c r="I14" s="46"/>
      <x:c r="J14" s="46"/>
      <x:c r="K14" s="46"/>
      <x:c r="L14" s="46"/>
      <x:c r="M14" s="46"/>
      <x:c r="N14" s="46"/>
    </x:row>
    <x:row r="15" ht="28.5" customHeight="1">
      <x:c r="A15" s="18" t="str">
        <x:v>Annual Gross Revenue</x:v>
      </x:c>
      <x:c r="B15" s="33" t="n">
        <x:f>INDEX(Scenario_Model!$G$6:$G$9,MATCH($B$6,Scenario_Model!$A$6:$A$9,0))</x:f>
        <x:v>86464</x:v>
      </x:c>
      <x:c r="C15" s="31" t="str">
        <x:v>Sponsor + subscription + shop + optional commitment revenue.</x:v>
      </x:c>
      <x:c r="D15" s="31"/>
      <x:c r="E15" s="46" t="str">
        <x:v>Revenue: sponsors become meaningful only after repeat completions, proof-card sharing, and challenge reporting exist.</x:v>
      </x:c>
      <x:c r="F15" s="46"/>
      <x:c r="G15" s="46"/>
      <x:c r="H15" s="46"/>
      <x:c r="I15" s="46"/>
      <x:c r="J15" s="46"/>
      <x:c r="K15" s="46"/>
      <x:c r="L15" s="46"/>
      <x:c r="M15" s="46"/>
      <x:c r="N15" s="46"/>
    </x:row>
    <x:row r="16" ht="28.5" customHeight="1">
      <x:c r="A16" s="18" t="str">
        <x:v>Annual Sponsor Revenue</x:v>
      </x:c>
      <x:c r="B16" s="33" t="n">
        <x:f>INDEX(Scenario_Model!$H$6:$H$9,MATCH($B$6,Scenario_Model!$A$6:$A$9,0))</x:f>
        <x:v>75470</x:v>
      </x:c>
      <x:c r="C16" s="31" t="str">
        <x:v>Main monetization thesis: participant-days + sponsor packages.</x:v>
      </x:c>
      <x:c r="D16" s="31"/>
      <x:c r="E16" s="46" t="str">
        <x:v>Growth: referrals, badges, squads, and streak loops are treated as organic growth drivers, not guaranteed magic.</x:v>
      </x:c>
      <x:c r="F16" s="46"/>
      <x:c r="G16" s="46"/>
      <x:c r="H16" s="46"/>
      <x:c r="I16" s="46"/>
      <x:c r="J16" s="46"/>
      <x:c r="K16" s="46"/>
      <x:c r="L16" s="46"/>
      <x:c r="M16" s="46"/>
      <x:c r="N16" s="46"/>
    </x:row>
    <x:row r="17" ht="28.5" customHeight="1">
      <x:c r="A17" s="18" t="str">
        <x:v>Annual NOI</x:v>
      </x:c>
      <x:c r="B17" s="33" t="n">
        <x:f>INDEX(Scenario_Model!$K$6:$K$9,MATCH($B$6,Scenario_Model!$A$6:$A$9,0))</x:f>
        <x:v>-547326</x:v>
      </x:c>
      <x:c r="C17" s="31" t="str">
        <x:v>Operating profit after UA, ops, creator, legal, support, and platform costs.</x:v>
      </x:c>
      <x:c r="D17" s="31"/>
      <x:c r="E17" s="46" t="str">
        <x:v>Locale: US-first with Korea secondary; keep currency and sponsor inventory localized before promising regional exclusivity.</x:v>
      </x:c>
      <x:c r="F17" s="46"/>
      <x:c r="G17" s="46"/>
      <x:c r="H17" s="46"/>
      <x:c r="I17" s="46"/>
      <x:c r="J17" s="46"/>
      <x:c r="K17" s="46"/>
      <x:c r="L17" s="46"/>
      <x:c r="M17" s="46"/>
      <x:c r="N17" s="46"/>
    </x:row>
    <x:row r="18" ht="28.5" customHeight="1">
      <x:c r="A18" s="18" t="str">
        <x:v>Operating Margin</x:v>
      </x:c>
      <x:c r="B18" s="34" t="n">
        <x:f>INDEX(Scenario_Model!$L$6:$L$9,MATCH($B$6,Scenario_Model!$A$6:$A$9,0))</x:f>
        <x:v>-6.330102701702443</x:v>
      </x:c>
      <x:c r="C18" s="31" t="str">
        <x:v>Realistic can remain negative while product/retention are being proven.</x:v>
      </x:c>
      <x:c r="D18" s="31"/>
      <x:c r="E18" s="46" t="str">
        <x:v>Planning: use Realistic for operating decisions, Bear for runway protection, Bull/Breakout for upside inventory sizing.</x:v>
      </x:c>
      <x:c r="F18" s="46"/>
      <x:c r="G18" s="46"/>
      <x:c r="H18" s="46"/>
      <x:c r="I18" s="46"/>
      <x:c r="J18" s="46"/>
      <x:c r="K18" s="46"/>
      <x:c r="L18" s="46"/>
      <x:c r="M18" s="46"/>
      <x:c r="N18" s="46"/>
    </x:row>
    <x:row r="19" ht="28.5" customHeight="1">
      <x:c r="A19" s="18" t="str">
        <x:v>M12 ARPMAU</x:v>
      </x:c>
      <x:c r="B19" s="35" t="n">
        <x:f>INDEX(Scenario_Model!$M$6:$M$9,MATCH($B$6,Scenario_Model!$A$6:$A$9,0))</x:f>
        <x:v>0.3178776782694372</x:v>
      </x:c>
      <x:c r="C19" s="31" t="str">
        <x:v>Monthly revenue per active user at month 12.</x:v>
      </x:c>
      <x:c r="D19" s="31"/>
      <x:c r="E19" s="46" t="str">
        <x:v>Monetization: cash commitment fees stay off in MVP; subscriptions and XP shop should follow demonstrated utility.</x:v>
      </x:c>
      <x:c r="F19" s="46"/>
      <x:c r="G19" s="46"/>
      <x:c r="H19" s="46"/>
      <x:c r="I19" s="46"/>
      <x:c r="J19" s="46"/>
      <x:c r="K19" s="46"/>
      <x:c r="L19" s="46"/>
      <x:c r="M19" s="46"/>
      <x:c r="N19" s="46"/>
    </x:row>
    <x:row r="20" ht="18" customHeight="1"/>
    <x:row r="21" ht="18" customHeight="1"/>
    <x:row r="22" ht="18" customHeight="1">
      <x:c r="A22" s="14" t="str">
        <x:v>Scenario Comparison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</x:row>
    <x:row r="23" ht="18" customHeight="1">
      <x:c r="A23" s="23" t="str">
        <x:v>Scenario</x:v>
      </x:c>
      <x:c r="B23" s="23" t="str">
        <x:v>M1 MAU</x:v>
      </x:c>
      <x:c r="C23" s="23" t="str">
        <x:v>M12 MAU</x:v>
      </x:c>
      <x:c r="D23" s="23" t="str">
        <x:v>Avg MAU</x:v>
      </x:c>
      <x:c r="E23" s="23" t="str">
        <x:v>M12 DAU</x:v>
      </x:c>
      <x:c r="F23" s="23" t="str">
        <x:v>Annual Workouts</x:v>
      </x:c>
      <x:c r="G23" s="23" t="str">
        <x:v>Gross Revenue</x:v>
      </x:c>
      <x:c r="H23" s="23" t="str">
        <x:v>Sponsor Revenue</x:v>
      </x:c>
      <x:c r="I23" s="23" t="str">
        <x:v>Sub + Shop Revenue</x:v>
      </x:c>
      <x:c r="J23" s="23" t="str">
        <x:v>Costs</x:v>
      </x:c>
      <x:c r="K23" s="23" t="str">
        <x:v>NOI</x:v>
      </x:c>
      <x:c r="L23" s="23" t="str">
        <x:v>Margin</x:v>
      </x:c>
      <x:c r="M23" s="23" t="str">
        <x:v>ARPMAU</x:v>
      </x:c>
      <x:c r="N23" s="23" t="str">
        <x:v>Read</x:v>
      </x:c>
    </x:row>
    <x:row r="24" ht="22.5" customHeight="1">
      <x:c r="A24" s="18" t="str">
        <x:f>Scenario_Model!A6</x:f>
        <x:v>Bear</x:v>
      </x:c>
      <x:c r="B24" s="32" t="n">
        <x:f>Scenario_Model!B6</x:f>
        <x:v>500</x:v>
      </x:c>
      <x:c r="C24" s="32" t="n">
        <x:f>Scenario_Model!C6</x:f>
        <x:v>3088</x:v>
      </x:c>
      <x:c r="D24" s="32" t="n">
        <x:f>Scenario_Model!D6</x:f>
        <x:v>1455</x:v>
      </x:c>
      <x:c r="E24" s="32" t="n">
        <x:f>Scenario_Model!E6</x:f>
        <x:v>556</x:v>
      </x:c>
      <x:c r="F24" s="32" t="n">
        <x:f>Scenario_Model!F6</x:f>
        <x:v>42428</x:v>
      </x:c>
      <x:c r="G24" s="33" t="n">
        <x:f>Scenario_Model!G6</x:f>
        <x:v>2129</x:v>
      </x:c>
      <x:c r="H24" s="33" t="n">
        <x:f>Scenario_Model!H6</x:f>
        <x:v>1519</x:v>
      </x:c>
      <x:c r="I24" s="33" t="n">
        <x:f>Scenario_Model!I6</x:f>
        <x:v>610</x:v>
      </x:c>
      <x:c r="J24" s="33" t="n">
        <x:f>Scenario_Model!J6</x:f>
        <x:v>314169</x:v>
      </x:c>
      <x:c r="K24" s="33" t="n">
        <x:f>Scenario_Model!K6</x:f>
        <x:v>-312040</x:v>
      </x:c>
      <x:c r="L24" s="34" t="n">
        <x:f>Scenario_Model!L6</x:f>
        <x:v>-146.5664631282292</x:v>
      </x:c>
      <x:c r="M24" s="35" t="n">
        <x:f>Scenario_Model!M6</x:f>
        <x:v>0.05745358376511226</x:v>
      </x:c>
      <x:c r="N24" s="31" t="str">
        <x:f>Scenario_Model!N6</x:f>
        <x:v>Closed-beta stays niche; founder-led sales only.</x:v>
      </x:c>
    </x:row>
    <x:row r="25" ht="22.5" customHeight="1">
      <x:c r="A25" s="18" t="str">
        <x:f>Scenario_Model!A7</x:f>
        <x:v>Realistic</x:v>
      </x:c>
      <x:c r="B25" s="32" t="n">
        <x:f>Scenario_Model!B7</x:f>
        <x:v>1500</x:v>
      </x:c>
      <x:c r="C25" s="32" t="n">
        <x:f>Scenario_Model!C7</x:f>
        <x:v>22667</x:v>
      </x:c>
      <x:c r="D25" s="32" t="n">
        <x:f>Scenario_Model!D7</x:f>
        <x:v>8189</x:v>
      </x:c>
      <x:c r="E25" s="32" t="n">
        <x:f>Scenario_Model!E7</x:f>
        <x:v>6347</x:v>
      </x:c>
      <x:c r="F25" s="32" t="n">
        <x:f>Scenario_Model!F7</x:f>
        <x:v>502700</x:v>
      </x:c>
      <x:c r="G25" s="33" t="n">
        <x:f>Scenario_Model!G7</x:f>
        <x:v>86464</x:v>
      </x:c>
      <x:c r="H25" s="33" t="n">
        <x:f>Scenario_Model!H7</x:f>
        <x:v>75470</x:v>
      </x:c>
      <x:c r="I25" s="33" t="n">
        <x:f>Scenario_Model!I7</x:f>
        <x:v>10994</x:v>
      </x:c>
      <x:c r="J25" s="33" t="n">
        <x:f>Scenario_Model!J7</x:f>
        <x:v>633790</x:v>
      </x:c>
      <x:c r="K25" s="33" t="n">
        <x:f>Scenario_Model!K7</x:f>
        <x:v>-547326</x:v>
      </x:c>
      <x:c r="L25" s="34" t="n">
        <x:f>Scenario_Model!L7</x:f>
        <x:v>-6.330102701702443</x:v>
      </x:c>
      <x:c r="M25" s="35" t="n">
        <x:f>Scenario_Model!M7</x:f>
        <x:v>0.3178776782694372</x:v>
      </x:c>
      <x:c r="N25" s="31" t="str">
        <x:f>Scenario_Model!N7</x:f>
        <x:v>Usable founder beta turns into repeatable niche growth.</x:v>
      </x:c>
    </x:row>
    <x:row r="26" ht="22.5" customHeight="1">
      <x:c r="A26" s="18" t="str">
        <x:f>Scenario_Model!A8</x:f>
        <x:v>Bull</x:v>
      </x:c>
      <x:c r="B26" s="32" t="n">
        <x:f>Scenario_Model!B8</x:f>
        <x:v>5000</x:v>
      </x:c>
      <x:c r="C26" s="32" t="n">
        <x:f>Scenario_Model!C8</x:f>
        <x:v>147197</x:v>
      </x:c>
      <x:c r="D26" s="32" t="n">
        <x:f>Scenario_Model!D8</x:f>
        <x:v>45182</x:v>
      </x:c>
      <x:c r="E26" s="32" t="n">
        <x:f>Scenario_Model!E8</x:f>
        <x:v>55935</x:v>
      </x:c>
      <x:c r="F26" s="32" t="n">
        <x:f>Scenario_Model!F8</x:f>
        <x:v>4549141</x:v>
      </x:c>
      <x:c r="G26" s="33" t="n">
        <x:f>Scenario_Model!G8</x:f>
        <x:v>1939758</x:v>
      </x:c>
      <x:c r="H26" s="33" t="n">
        <x:f>Scenario_Model!H8</x:f>
        <x:v>1779949</x:v>
      </x:c>
      <x:c r="I26" s="33" t="n">
        <x:f>Scenario_Model!I8</x:f>
        <x:v>159809</x:v>
      </x:c>
      <x:c r="J26" s="33" t="n">
        <x:f>Scenario_Model!J8</x:f>
        <x:v>1894090</x:v>
      </x:c>
      <x:c r="K26" s="33" t="n">
        <x:f>Scenario_Model!K8</x:f>
        <x:v>45668</x:v>
      </x:c>
      <x:c r="L26" s="34" t="n">
        <x:f>Scenario_Model!L8</x:f>
        <x:v>0.023543143010622974</x:v>
      </x:c>
      <x:c r="M26" s="35" t="n">
        <x:f>Scenario_Model!M8</x:f>
        <x:v>1.0981643647628687</x:v>
      </x:c>
      <x:c r="N26" s="31" t="str">
        <x:f>Scenario_Model!N8</x:f>
        <x:v>Strong retention and visible social sharing unlock sponsors.</x:v>
      </x:c>
    </x:row>
    <x:row r="27" ht="22.5" customHeight="1">
      <x:c r="A27" s="18" t="str">
        <x:f>Scenario_Model!A9</x:f>
        <x:v>Breakout</x:v>
      </x:c>
      <x:c r="B27" s="32" t="n">
        <x:f>Scenario_Model!B9</x:f>
        <x:v>15000</x:v>
      </x:c>
      <x:c r="C27" s="32" t="n">
        <x:f>Scenario_Model!C9</x:f>
        <x:v>1038920</x:v>
      </x:c>
      <x:c r="D27" s="32" t="n">
        <x:f>Scenario_Model!D9</x:f>
        <x:v>268123</x:v>
      </x:c>
      <x:c r="E27" s="32" t="n">
        <x:f>Scenario_Model!E9</x:f>
        <x:v>519460</x:v>
      </x:c>
      <x:c r="F27" s="32" t="n">
        <x:f>Scenario_Model!F9</x:f>
        <x:v>42229373</x:v>
      </x:c>
      <x:c r="G27" s="33" t="n">
        <x:f>Scenario_Model!G9</x:f>
        <x:v>16398032</x:v>
      </x:c>
      <x:c r="H27" s="33" t="n">
        <x:f>Scenario_Model!H9</x:f>
        <x:v>14546214</x:v>
      </x:c>
      <x:c r="I27" s="33" t="n">
        <x:f>Scenario_Model!I9</x:f>
        <x:v>1851818</x:v>
      </x:c>
      <x:c r="J27" s="33" t="n">
        <x:f>Scenario_Model!J9</x:f>
        <x:v>6635109</x:v>
      </x:c>
      <x:c r="K27" s="33" t="n">
        <x:f>Scenario_Model!K9</x:f>
        <x:v>9762923</x:v>
      </x:c>
      <x:c r="L27" s="34" t="n">
        <x:f>Scenario_Model!L9</x:f>
        <x:v>0.5953716275221319</x:v>
      </x:c>
      <x:c r="M27" s="35" t="n">
        <x:f>Scenario_Model!M9</x:f>
        <x:v>1.3153107714421388</x:v>
      </x:c>
      <x:c r="N27" s="31" t="str">
        <x:f>Scenario_Model!N9</x:f>
        <x:v>Cultural challenge loop breaks out across campuses/social.</x:v>
      </x:c>
    </x:row>
    <x:row r="28" ht="18" customHeight="1"/>
    <x:row r="29" ht="18" customHeight="1"/>
    <x:row r="30" ht="18" customHeight="1"/>
    <x:row r="31" ht="18" customHeight="1">
      <x:c r="A31" s="14" t="str">
        <x:v>Exec Summary: What Changed</x:v>
      </x:c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</x:row>
    <x:row r="32" ht="31.5" customHeight="1">
      <x:c r="A32" s="52" t="str">
        <x:v>1</x:v>
      </x:c>
      <x:c r="B32" s="49" t="str">
        <x:v>Base case is now Realistic, not 1M MAU Average. The model reflects a closed-beta-to-early-public path before the moonshot.</x:v>
      </x:c>
      <x:c r="C32" s="49" t="str"/>
      <x:c r="D32" s="49" t="str"/>
      <x:c r="E32" s="49" t="str"/>
      <x:c r="F32" s="49" t="str"/>
      <x:c r="G32" s="49" t="str"/>
      <x:c r="H32" s="49" t="str"/>
      <x:c r="I32" s="49" t="str"/>
      <x:c r="J32" s="49" t="str"/>
      <x:c r="K32" s="49" t="str"/>
      <x:c r="L32" s="49" t="str"/>
      <x:c r="M32" s="49" t="str"/>
      <x:c r="N32" s="49" t="str"/>
    </x:row>
    <x:row r="33" ht="31.5" customHeight="1">
      <x:c r="A33" s="52" t="str">
        <x:v>2</x:v>
      </x:c>
      <x:c r="B33" s="49" t="str">
        <x:v>Cash commitment/rebate economics are disabled for MVP because the current product direction is trust, camera reliability, streaks, XP, badges, and referrals first.</x:v>
      </x:c>
      <x:c r="C33" s="49" t="str"/>
      <x:c r="D33" s="49" t="str"/>
      <x:c r="E33" s="49" t="str"/>
      <x:c r="F33" s="49" t="str"/>
      <x:c r="G33" s="49" t="str"/>
      <x:c r="H33" s="49" t="str"/>
      <x:c r="I33" s="49" t="str"/>
      <x:c r="J33" s="49" t="str"/>
      <x:c r="K33" s="49" t="str"/>
      <x:c r="L33" s="49" t="str"/>
      <x:c r="M33" s="49" t="str"/>
      <x:c r="N33" s="49" t="str"/>
    </x:row>
    <x:row r="34" ht="31.5" customHeight="1">
      <x:c r="A34" s="52" t="str">
        <x:v>3</x:v>
      </x:c>
      <x:c r="B34" s="49" t="str">
        <x:v>Sponsor economics are staged: pilot packages first, then regional/category inventory, then national/breakout sponsorship once participant-days are proven.</x:v>
      </x:c>
      <x:c r="C34" s="49" t="str"/>
      <x:c r="D34" s="49" t="str"/>
      <x:c r="E34" s="49" t="str"/>
      <x:c r="F34" s="49" t="str"/>
      <x:c r="G34" s="49" t="str"/>
      <x:c r="H34" s="49" t="str"/>
      <x:c r="I34" s="49" t="str"/>
      <x:c r="J34" s="49" t="str"/>
      <x:c r="K34" s="49" t="str"/>
      <x:c r="L34" s="49" t="str"/>
      <x:c r="M34" s="49" t="str"/>
      <x:c r="N34" s="49" t="str"/>
    </x:row>
    <x:row r="35" ht="31.5" customHeight="1">
      <x:c r="A35" s="52" t="str">
        <x:v>4</x:v>
      </x:c>
      <x:c r="B35" s="49" t="str">
        <x:v>Locale logic is explicit: US-first with Korea secondary; USD base, KRW translation visible, and regional sponsor/CPI indices separated.</x:v>
      </x:c>
      <x:c r="C35" s="49" t="str"/>
      <x:c r="D35" s="49" t="str"/>
      <x:c r="E35" s="49" t="str"/>
      <x:c r="F35" s="49" t="str"/>
      <x:c r="G35" s="49" t="str"/>
      <x:c r="H35" s="49" t="str"/>
      <x:c r="I35" s="49" t="str"/>
      <x:c r="J35" s="49" t="str"/>
      <x:c r="K35" s="49" t="str"/>
      <x:c r="L35" s="49" t="str"/>
      <x:c r="M35" s="49" t="str"/>
      <x:c r="N35" s="49" t="str"/>
    </x:row>
    <x:row r="36" ht="31.5" customHeight="1">
      <x:c r="A36" s="52" t="str">
        <x:v>5</x:v>
      </x:c>
      <x:c r="B36" s="49" t="str">
        <x:v>Payer conversion is intentionally conservative versus broad Health &amp; Fitness category benchmarks until Just 20 proves retention and utility.</x:v>
      </x:c>
      <x:c r="C36" s="49" t="str"/>
      <x:c r="D36" s="49" t="str"/>
      <x:c r="E36" s="49" t="str"/>
      <x:c r="F36" s="49" t="str"/>
      <x:c r="G36" s="49" t="str"/>
      <x:c r="H36" s="49" t="str"/>
      <x:c r="I36" s="49" t="str"/>
      <x:c r="J36" s="49" t="str"/>
      <x:c r="K36" s="49" t="str"/>
      <x:c r="L36" s="49" t="str"/>
      <x:c r="M36" s="49" t="str"/>
      <x:c r="N36" s="49" t="str"/>
    </x:row>
    <x:row r="37" ht="31.5" customHeight="1">
      <x:c r="A37" s="52" t="str">
        <x:v>6</x:v>
      </x:c>
      <x:c r="B37" s="49" t="str">
        <x:v>The model now distinguishes operating plan from upside stress test: Realistic for planning, Breakout for sizing infrastructure and sponsor optionality.</x:v>
      </x:c>
      <x:c r="C37" s="49" t="str"/>
      <x:c r="D37" s="49" t="str"/>
      <x:c r="E37" s="49" t="str"/>
      <x:c r="F37" s="49" t="str"/>
      <x:c r="G37" s="49" t="str"/>
      <x:c r="H37" s="49" t="str"/>
      <x:c r="I37" s="49" t="str"/>
      <x:c r="J37" s="49" t="str"/>
      <x:c r="K37" s="49" t="str"/>
      <x:c r="L37" s="49" t="str"/>
      <x:c r="M37" s="49" t="str"/>
      <x:c r="N37" s="49" t="str"/>
    </x:row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N1"/>
    <x:mergeCell ref="A2:N2"/>
    <x:mergeCell ref="A4:D4"/>
    <x:mergeCell ref="C5:D5"/>
    <x:mergeCell ref="C6:D6"/>
    <x:mergeCell ref="C7:D7"/>
    <x:mergeCell ref="C8:D8"/>
    <x:mergeCell ref="C9:D9"/>
    <x:mergeCell ref="C10:D10"/>
    <x:mergeCell ref="A12:N12"/>
    <x:mergeCell ref="C13:D13"/>
    <x:mergeCell ref="C14:D14"/>
    <x:mergeCell ref="C15:D15"/>
    <x:mergeCell ref="C16:D16"/>
    <x:mergeCell ref="C17:D17"/>
    <x:mergeCell ref="C18:D18"/>
    <x:mergeCell ref="C19:D19"/>
    <x:mergeCell ref="E13:N13"/>
    <x:mergeCell ref="E14:N14"/>
    <x:mergeCell ref="E15:N15"/>
    <x:mergeCell ref="E16:N16"/>
    <x:mergeCell ref="E17:N17"/>
    <x:mergeCell ref="E18:N18"/>
    <x:mergeCell ref="E19:N19"/>
    <x:mergeCell ref="A22:N22"/>
    <x:mergeCell ref="A31:N31"/>
    <x:mergeCell ref="B32:N32"/>
    <x:mergeCell ref="B33:N33"/>
    <x:mergeCell ref="B34:N34"/>
    <x:mergeCell ref="B35:N35"/>
    <x:mergeCell ref="B36:N36"/>
    <x:mergeCell ref="B37:N37"/>
  </x:mergeCells>
  <x:dataValidations count="1">
    <x:dataValidation type="list" allowBlank="0" showDropDown="0" sqref="B6">
      <x:formula1>"Bear,Realistic,Bull,Breakout"</x:formula1>
    </x:dataValidation>
  </x:dataValidations>
  <x:pageMargins left="0.7" right="0.7" top="0.75" bottom="0.75" header="0.3" footer="0.3"/>
  <x:drawing xmlns:r="http://schemas.openxmlformats.org/officeDocument/2006/relationships" r:id="R632c76aaf5884a1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38.650001525878906" hidden="0" customWidth="1"/>
  </x:cols>
  <x:sheetData>
    <x:row r="1" ht="18" customHeight="1">
      <x:c r="A1" s="6" t="str">
        <x:v>Bear / Realistic / Bull / Breakout Scenario Model</x:v>
      </x:c>
      <x:c r="B1" s="24"/>
      <x:c r="C1" s="24"/>
      <x:c r="D1" s="24"/>
      <x:c r="E1" s="24"/>
      <x:c r="F1" s="24"/>
      <x:c r="G1" s="29"/>
      <x:c r="H1" s="29"/>
      <x:c r="I1" s="29"/>
      <x:c r="J1" s="29"/>
      <x:c r="K1" s="29"/>
      <x:c r="L1" s="25"/>
      <x:c r="M1" s="26"/>
      <x:c r="N1" s="40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18" customHeight="1">
      <x:c r="A2" s="10" t="str">
        <x:v>Scenario outputs are formula-driven from the Assumptions tab. Realistic is the default planning case; Breakout is a stress-test upside case.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18" customHeight="1"/>
    <x:row r="4" ht="18" customHeight="1"/>
    <x:row r="5" ht="18" customHeight="1">
      <x:c r="A5" s="23" t="str">
        <x:v>Scenario</x:v>
      </x:c>
      <x:c r="B5" s="23" t="str">
        <x:v>M1 MAU</x:v>
      </x:c>
      <x:c r="C5" s="23" t="str">
        <x:v>M12 MAU</x:v>
      </x:c>
      <x:c r="D5" s="23" t="str">
        <x:v>Avg MAU</x:v>
      </x:c>
      <x:c r="E5" s="23" t="str">
        <x:v>M12 DAU</x:v>
      </x:c>
      <x:c r="F5" s="23" t="str">
        <x:v>Annual Completed Workouts</x:v>
      </x:c>
      <x:c r="G5" s="23" t="str">
        <x:v>Annual Gross Revenue</x:v>
      </x:c>
      <x:c r="H5" s="23" t="str">
        <x:v>Sponsor Revenue</x:v>
      </x:c>
      <x:c r="I5" s="23" t="str">
        <x:v>Subscription + Shop Revenue</x:v>
      </x:c>
      <x:c r="J5" s="23" t="str">
        <x:v>Operating Costs</x:v>
      </x:c>
      <x:c r="K5" s="23" t="str">
        <x:v>Net Operating Income</x:v>
      </x:c>
      <x:c r="L5" s="23" t="str">
        <x:v>Operating Margin</x:v>
      </x:c>
      <x:c r="M5" s="23" t="str">
        <x:v>M12 ARPMAU</x:v>
      </x:c>
      <x:c r="N5" s="23" t="str">
        <x:v>Read</x:v>
      </x:c>
    </x:row>
    <x:row r="6" ht="18" customHeight="1">
      <x:c r="A6" s="18" t="str">
        <x:f>Assumptions!A6</x:f>
        <x:v>Bear</x:v>
      </x:c>
      <x:c r="B6" s="18" t="n">
        <x:f>Assumptions!C6</x:f>
        <x:v>500</x:v>
      </x:c>
      <x:c r="C6" s="18" t="n">
        <x:f>ROUND(B6*(1+Assumptions!D6)^11,0)</x:f>
        <x:v>3088</x:v>
      </x:c>
      <x:c r="D6" s="18" t="n">
        <x:f>ROUND(IF(Assumptions!D6=0,B6,B6*((1+Assumptions!D6)^12-1)/(12*Assumptions!D6)),0)</x:f>
        <x:v>1455</x:v>
      </x:c>
      <x:c r="E6" s="18" t="n">
        <x:f>ROUND(C6*Assumptions!I6,0)</x:f>
        <x:v>556</x:v>
      </x:c>
      <x:c r="F6" s="18" t="n">
        <x:f>ROUND(D6*Assumptions!I6*360*Assumptions!J6*Assumptions!K6,0)</x:f>
        <x:v>42428</x:v>
      </x:c>
      <x:c r="G6" s="18" t="n">
        <x:f>H6+I6+ROUND(D6*Assumptions!AD6*Assumptions!AC6*12,0)</x:f>
        <x:v>2129</x:v>
      </x:c>
      <x:c r="H6" s="18" t="n">
        <x:f>ROUND(D6*Assumptions!I6*360*Assumptions!P6+Assumptions!Q6*Assumptions!R6*12*MIN(1,D6/25000),0)</x:f>
        <x:v>1519</x:v>
      </x:c>
      <x:c r="I6" s="18" t="n">
        <x:f>ROUND(D6*Assumptions!L6*Assumptions!M6*12+D6*Assumptions!N6*Assumptions!O6*12,0)</x:f>
        <x:v>610</x:v>
      </x:c>
      <x:c r="J6" s="18" t="n">
        <x:f>ROUND((I6)*Assumptions!T6+(H6)*Assumptions!U6+H6*Assumptions!S6+D6*(Assumptions!V6+Assumptions!W6)*12+(Assumptions!Y6+Assumptions!Z6+Assumptions!AA6+Assumptions!AB6)*12+(B6/(Assumptions!G6*Assumptions!H6)*(1+IF(Assumptions!D6=0,11*(1-Assumptions!X6),((1+Assumptions!D6)-Assumptions!X6)*(((1+Assumptions!D6)^11-1)/Assumptions!D6))))*(1-Assumptions!E6)*Assumptions!F6,0)</x:f>
        <x:v>314169</x:v>
      </x:c>
      <x:c r="K6" s="18" t="n">
        <x:f>G6-J6</x:f>
        <x:v>-312040</x:v>
      </x:c>
      <x:c r="L6" s="18" t="n">
        <x:f>IFERROR(K6/G6,0)</x:f>
        <x:v>-146.5664631282292</x:v>
      </x:c>
      <x:c r="M6" s="18" t="n">
        <x:f>IFERROR(G6/12/C6,0)</x:f>
        <x:v>0.05745358376511226</x:v>
      </x:c>
      <x:c r="N6" s="18" t="str">
        <x:f>Assumptions!B6</x:f>
        <x:v>Closed-beta stays niche; founder-led sales only.</x:v>
      </x:c>
    </x:row>
    <x:row r="7" ht="18" customHeight="1">
      <x:c r="A7" s="18" t="str">
        <x:f>Assumptions!A7</x:f>
        <x:v>Realistic</x:v>
      </x:c>
      <x:c r="B7" s="18" t="n">
        <x:f>Assumptions!C7</x:f>
        <x:v>1500</x:v>
      </x:c>
      <x:c r="C7" s="18" t="n">
        <x:f>ROUND(B7*(1+Assumptions!D7)^11,0)</x:f>
        <x:v>22667</x:v>
      </x:c>
      <x:c r="D7" s="18" t="n">
        <x:f>ROUND(IF(Assumptions!D7=0,B7,B7*((1+Assumptions!D7)^12-1)/(12*Assumptions!D7)),0)</x:f>
        <x:v>8189</x:v>
      </x:c>
      <x:c r="E7" s="18" t="n">
        <x:f>ROUND(C7*Assumptions!I7,0)</x:f>
        <x:v>6347</x:v>
      </x:c>
      <x:c r="F7" s="18" t="n">
        <x:f>ROUND(D7*Assumptions!I7*360*Assumptions!J7*Assumptions!K7,0)</x:f>
        <x:v>502700</x:v>
      </x:c>
      <x:c r="G7" s="18" t="n">
        <x:f>H7+I7+ROUND(D7*Assumptions!AD7*Assumptions!AC7*12,0)</x:f>
        <x:v>86464</x:v>
      </x:c>
      <x:c r="H7" s="18" t="n">
        <x:f>ROUND(D7*Assumptions!I7*360*Assumptions!P7+Assumptions!Q7*Assumptions!R7*12*MIN(1,D7/25000),0)</x:f>
        <x:v>75470</x:v>
      </x:c>
      <x:c r="I7" s="18" t="n">
        <x:f>ROUND(D7*Assumptions!L7*Assumptions!M7*12+D7*Assumptions!N7*Assumptions!O7*12,0)</x:f>
        <x:v>10994</x:v>
      </x:c>
      <x:c r="J7" s="18" t="n">
        <x:f>ROUND((I7)*Assumptions!T7+(H7)*Assumptions!U7+H7*Assumptions!S7+D7*(Assumptions!V7+Assumptions!W7)*12+(Assumptions!Y7+Assumptions!Z7+Assumptions!AA7+Assumptions!AB7)*12+(B7/(Assumptions!G7*Assumptions!H7)*(1+IF(Assumptions!D7=0,11*(1-Assumptions!X7),((1+Assumptions!D7)-Assumptions!X7)*(((1+Assumptions!D7)^11-1)/Assumptions!D7))))*(1-Assumptions!E7)*Assumptions!F7,0)</x:f>
        <x:v>633790</x:v>
      </x:c>
      <x:c r="K7" s="18" t="n">
        <x:f>G7-J7</x:f>
        <x:v>-547326</x:v>
      </x:c>
      <x:c r="L7" s="18" t="n">
        <x:f>IFERROR(K7/G7,0)</x:f>
        <x:v>-6.330102701702443</x:v>
      </x:c>
      <x:c r="M7" s="18" t="n">
        <x:f>IFERROR(G7/12/C7,0)</x:f>
        <x:v>0.3178776782694372</x:v>
      </x:c>
      <x:c r="N7" s="18" t="str">
        <x:f>Assumptions!B7</x:f>
        <x:v>Usable founder beta turns into repeatable niche growth.</x:v>
      </x:c>
    </x:row>
    <x:row r="8" ht="18" customHeight="1">
      <x:c r="A8" s="18" t="str">
        <x:f>Assumptions!A8</x:f>
        <x:v>Bull</x:v>
      </x:c>
      <x:c r="B8" s="18" t="n">
        <x:f>Assumptions!C8</x:f>
        <x:v>5000</x:v>
      </x:c>
      <x:c r="C8" s="18" t="n">
        <x:f>ROUND(B8*(1+Assumptions!D8)^11,0)</x:f>
        <x:v>147197</x:v>
      </x:c>
      <x:c r="D8" s="18" t="n">
        <x:f>ROUND(IF(Assumptions!D8=0,B8,B8*((1+Assumptions!D8)^12-1)/(12*Assumptions!D8)),0)</x:f>
        <x:v>45182</x:v>
      </x:c>
      <x:c r="E8" s="18" t="n">
        <x:f>ROUND(C8*Assumptions!I8,0)</x:f>
        <x:v>55935</x:v>
      </x:c>
      <x:c r="F8" s="18" t="n">
        <x:f>ROUND(D8*Assumptions!I8*360*Assumptions!J8*Assumptions!K8,0)</x:f>
        <x:v>4549141</x:v>
      </x:c>
      <x:c r="G8" s="18" t="n">
        <x:f>H8+I8+ROUND(D8*Assumptions!AD8*Assumptions!AC8*12,0)</x:f>
        <x:v>1939758</x:v>
      </x:c>
      <x:c r="H8" s="18" t="n">
        <x:f>ROUND(D8*Assumptions!I8*360*Assumptions!P8+Assumptions!Q8*Assumptions!R8*12*MIN(1,D8/25000),0)</x:f>
        <x:v>1779949</x:v>
      </x:c>
      <x:c r="I8" s="18" t="n">
        <x:f>ROUND(D8*Assumptions!L8*Assumptions!M8*12+D8*Assumptions!N8*Assumptions!O8*12,0)</x:f>
        <x:v>159809</x:v>
      </x:c>
      <x:c r="J8" s="18" t="n">
        <x:f>ROUND((I8)*Assumptions!T8+(H8)*Assumptions!U8+H8*Assumptions!S8+D8*(Assumptions!V8+Assumptions!W8)*12+(Assumptions!Y8+Assumptions!Z8+Assumptions!AA8+Assumptions!AB8)*12+(B8/(Assumptions!G8*Assumptions!H8)*(1+IF(Assumptions!D8=0,11*(1-Assumptions!X8),((1+Assumptions!D8)-Assumptions!X8)*(((1+Assumptions!D8)^11-1)/Assumptions!D8))))*(1-Assumptions!E8)*Assumptions!F8,0)</x:f>
        <x:v>1894090</x:v>
      </x:c>
      <x:c r="K8" s="18" t="n">
        <x:f>G8-J8</x:f>
        <x:v>45668</x:v>
      </x:c>
      <x:c r="L8" s="18" t="n">
        <x:f>IFERROR(K8/G8,0)</x:f>
        <x:v>0.023543143010622974</x:v>
      </x:c>
      <x:c r="M8" s="18" t="n">
        <x:f>IFERROR(G8/12/C8,0)</x:f>
        <x:v>1.0981643647628687</x:v>
      </x:c>
      <x:c r="N8" s="18" t="str">
        <x:f>Assumptions!B8</x:f>
        <x:v>Strong retention and visible social sharing unlock sponsors.</x:v>
      </x:c>
    </x:row>
    <x:row r="9" ht="18" customHeight="1">
      <x:c r="A9" s="18" t="str">
        <x:f>Assumptions!A9</x:f>
        <x:v>Breakout</x:v>
      </x:c>
      <x:c r="B9" s="18" t="n">
        <x:f>Assumptions!C9</x:f>
        <x:v>15000</x:v>
      </x:c>
      <x:c r="C9" s="18" t="n">
        <x:f>ROUND(B9*(1+Assumptions!D9)^11,0)</x:f>
        <x:v>1038920</x:v>
      </x:c>
      <x:c r="D9" s="18" t="n">
        <x:f>ROUND(IF(Assumptions!D9=0,B9,B9*((1+Assumptions!D9)^12-1)/(12*Assumptions!D9)),0)</x:f>
        <x:v>268123</x:v>
      </x:c>
      <x:c r="E9" s="18" t="n">
        <x:f>ROUND(C9*Assumptions!I9,0)</x:f>
        <x:v>519460</x:v>
      </x:c>
      <x:c r="F9" s="18" t="n">
        <x:f>ROUND(D9*Assumptions!I9*360*Assumptions!J9*Assumptions!K9,0)</x:f>
        <x:v>42229373</x:v>
      </x:c>
      <x:c r="G9" s="18" t="n">
        <x:f>H9+I9+ROUND(D9*Assumptions!AD9*Assumptions!AC9*12,0)</x:f>
        <x:v>16398032</x:v>
      </x:c>
      <x:c r="H9" s="18" t="n">
        <x:f>ROUND(D9*Assumptions!I9*360*Assumptions!P9+Assumptions!Q9*Assumptions!R9*12*MIN(1,D9/25000),0)</x:f>
        <x:v>14546214</x:v>
      </x:c>
      <x:c r="I9" s="18" t="n">
        <x:f>ROUND(D9*Assumptions!L9*Assumptions!M9*12+D9*Assumptions!N9*Assumptions!O9*12,0)</x:f>
        <x:v>1851818</x:v>
      </x:c>
      <x:c r="J9" s="18" t="n">
        <x:f>ROUND((I9)*Assumptions!T9+(H9)*Assumptions!U9+H9*Assumptions!S9+D9*(Assumptions!V9+Assumptions!W9)*12+(Assumptions!Y9+Assumptions!Z9+Assumptions!AA9+Assumptions!AB9)*12+(B9/(Assumptions!G9*Assumptions!H9)*(1+IF(Assumptions!D9=0,11*(1-Assumptions!X9),((1+Assumptions!D9)-Assumptions!X9)*(((1+Assumptions!D9)^11-1)/Assumptions!D9))))*(1-Assumptions!E9)*Assumptions!F9,0)</x:f>
        <x:v>6635109</x:v>
      </x:c>
      <x:c r="K9" s="18" t="n">
        <x:f>G9-J9</x:f>
        <x:v>9762923</x:v>
      </x:c>
      <x:c r="L9" s="18" t="n">
        <x:f>IFERROR(K9/G9,0)</x:f>
        <x:v>0.5953716275221319</x:v>
      </x:c>
      <x:c r="M9" s="18" t="n">
        <x:f>IFERROR(G9/12/C9,0)</x:f>
        <x:v>1.3153107714421388</x:v>
      </x:c>
      <x:c r="N9" s="18" t="str">
        <x:f>Assumptions!B9</x:f>
        <x:v>Cultural challenge loop breaks out across campuses/social.</x:v>
      </x:c>
    </x:row>
    <x:row r="10" ht="18" customHeight="1"/>
    <x:row r="11" ht="18" customHeight="1"/>
    <x:row r="12" ht="18" customHeight="1">
      <x:c r="A12" s="14" t="str">
        <x:v>Key Takeaway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</x:row>
    <x:row r="13" ht="34.5" customHeight="1">
      <x:c r="A13" s="23" t="str">
        <x:v>Bear</x:v>
      </x:c>
      <x:c r="B13" s="23" t="str">
        <x:v>Assume no meaningful sponsor leverage yet. The business is still a product-reliability experiment; burn is acceptable only if body tracking and retention improve.</x:v>
      </x:c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</x:row>
    <x:row r="14" ht="34.5" customHeight="1">
      <x:c r="A14" s="18" t="str">
        <x:v>Realistic</x:v>
      </x:c>
      <x:c r="B14" s="31" t="str">
        <x:v>Use this for 2026 planning. Sponsor revenue exists, but the model still depends on reliable retention, referral loops, and strong creator efficiency.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</x:row>
    <x:row r="15" ht="34.5" customHeight="1">
      <x:c r="A15" s="18" t="str">
        <x:v>Bull</x:v>
      </x:c>
      <x:c r="B15" s="31" t="str">
        <x:v>Strong enough for category sponsors and meaningful subscriptions. This is where partnership sales should become a repeatable motion.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</x:row>
    <x:row r="16" ht="34.5" customHeight="1">
      <x:c r="A16" s="18" t="str">
        <x:v>Breakout</x:v>
      </x:c>
      <x:c r="B16" s="31" t="str">
        <x:v>Viral upside, not the planning baseline. Useful for sizing backend risk, sponsor inventory, and strategic funding conversations.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N1"/>
    <x:mergeCell ref="A2:N2"/>
    <x:mergeCell ref="A12:N12"/>
  </x:mergeCells>
  <x:conditionalFormatting sqref="K6:K9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8.829999923706055" hidden="0" customWidth="1"/>
    <x:col min="3" max="3" width="11.170000076293945" hidden="0" customWidth="1"/>
    <x:col min="4" max="4" width="11.170000076293945" hidden="0" customWidth="1"/>
    <x:col min="5" max="5" width="11.170000076293945" hidden="0" customWidth="1"/>
    <x:col min="6" max="6" width="11.170000076293945" hidden="0" customWidth="1"/>
    <x:col min="7" max="7" width="11.170000076293945" hidden="0" customWidth="1"/>
    <x:col min="8" max="8" width="11.170000076293945" hidden="0" customWidth="1"/>
    <x:col min="9" max="9" width="11.170000076293945" hidden="0" customWidth="1"/>
    <x:col min="10" max="10" width="11.170000076293945" hidden="0" customWidth="1"/>
    <x:col min="11" max="11" width="11.170000076293945" hidden="0" customWidth="1"/>
    <x:col min="12" max="12" width="11.170000076293945" hidden="0" customWidth="1"/>
    <x:col min="13" max="13" width="11.170000076293945" hidden="0" customWidth="1"/>
    <x:col min="14" max="14" width="11.170000076293945" hidden="0" customWidth="1"/>
    <x:col min="15" max="15" width="11.170000076293945" hidden="0" customWidth="1"/>
    <x:col min="16" max="16" width="11.170000076293945" hidden="0" customWidth="1"/>
    <x:col min="17" max="17" width="11.170000076293945" hidden="0" customWidth="1"/>
    <x:col min="18" max="18" width="11.170000076293945" hidden="0" customWidth="1"/>
    <x:col min="19" max="19" width="11.170000076293945" hidden="0" customWidth="1"/>
    <x:col min="20" max="20" width="11.170000076293945" hidden="0" customWidth="1"/>
    <x:col min="21" max="21" width="11.170000076293945" hidden="0" customWidth="1"/>
    <x:col min="22" max="22" width="11.170000076293945" hidden="0" customWidth="1"/>
    <x:col min="23" max="23" width="11.170000076293945" hidden="0" customWidth="1"/>
    <x:col min="24" max="24" width="11.170000076293945" hidden="0" customWidth="1"/>
    <x:col min="25" max="25" width="11.170000076293945" hidden="0" customWidth="1"/>
    <x:col min="26" max="26" width="11.170000076293945" hidden="0" customWidth="1"/>
    <x:col min="27" max="27" width="11.170000076293945" hidden="0" customWidth="1"/>
    <x:col min="28" max="28" width="11.170000076293945" hidden="0" customWidth="1"/>
    <x:col min="29" max="29" width="11.170000076293945" hidden="0" customWidth="1"/>
    <x:col min="30" max="30" width="11.170000076293945" hidden="0" customWidth="1"/>
    <x:col min="31" max="31" width="11.170000076293945" hidden="0" customWidth="1"/>
    <x:col min="32" max="32" width="11.170000076293945" hidden="0" customWidth="1"/>
    <x:col min="33" max="33" width="38.650001525878906" hidden="0" customWidth="1"/>
  </x:cols>
  <x:sheetData>
    <x:row r="1" ht="18" customHeight="1">
      <x:c r="A1" s="6" t="str">
        <x:v>Just 20 Tuned Financial Assumptions</x:v>
      </x:c>
      <x:c r="B1" s="6"/>
      <x:c r="C1" s="24"/>
      <x:c r="D1" s="25"/>
      <x:c r="E1" s="25"/>
      <x:c r="F1" s="26"/>
      <x:c r="G1" s="25"/>
      <x:c r="H1" s="25"/>
      <x:c r="I1" s="25"/>
      <x:c r="J1" s="25"/>
      <x:c r="K1" s="25"/>
      <x:c r="L1" s="25"/>
      <x:c r="M1" s="26"/>
      <x:c r="N1" s="25"/>
      <x:c r="O1" s="27"/>
      <x:c r="P1" s="27"/>
      <x:c r="Q1" s="28"/>
      <x:c r="R1" s="29"/>
      <x:c r="S1" s="25"/>
      <x:c r="T1" s="25"/>
      <x:c r="U1" s="25"/>
      <x:c r="V1" s="25"/>
      <x:c r="W1" s="25"/>
      <x:c r="X1" s="6"/>
      <x:c r="Y1" s="29"/>
      <x:c r="Z1" s="29"/>
      <x:c r="AA1" s="29"/>
      <x:c r="AB1" s="29"/>
      <x:c r="AC1" s="26"/>
      <x:c r="AD1" s="25"/>
      <x:c r="AE1" s="25"/>
      <x:c r="AF1" s="30"/>
      <x:c r="AG1" s="6"/>
    </x:row>
    <x:row r="2" ht="18" customHeight="1">
      <x:c r="A2" s="10" t="str">
        <x:v>Editable scenario assumptions aligned to the current product plan: camera-tracked pushups, streak/XP/badges, referrals, sponsor packages, and later XP shop/subscriptions.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</x:row>
    <x:row r="3" ht="18" customHeight="1"/>
    <x:row r="4" ht="18" customHeight="1">
      <x:c r="A4" s="14" t="str">
        <x:v>Scenario Defaults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</x:row>
    <x:row r="5" ht="18" customHeight="1">
      <x:c r="A5" s="23" t="str">
        <x:v>Scenario</x:v>
      </x:c>
      <x:c r="B5" s="23" t="str">
        <x:v>Interpretation</x:v>
      </x:c>
      <x:c r="C5" s="23" t="str">
        <x:v>M1 MAU</x:v>
      </x:c>
      <x:c r="D5" s="23" t="str">
        <x:v>Monthly MAU Growth</x:v>
      </x:c>
      <x:c r="E5" s="23" t="str">
        <x:v>Organic / Viral Share</x:v>
      </x:c>
      <x:c r="F5" s="23" t="str">
        <x:v>Paid CPI</x:v>
      </x:c>
      <x:c r="G5" s="23" t="str">
        <x:v>Install -&gt; Signup</x:v>
      </x:c>
      <x:c r="H5" s="23" t="str">
        <x:v>Signup -&gt; First Workout</x:v>
      </x:c>
      <x:c r="I5" s="23" t="str">
        <x:v>DAU / MAU</x:v>
      </x:c>
      <x:c r="J5" s="23" t="str">
        <x:v>Completion Rate</x:v>
      </x:c>
      <x:c r="K5" s="23" t="str">
        <x:v>Avg Sets / User / Day</x:v>
      </x:c>
      <x:c r="L5" s="23" t="str">
        <x:v>Payer Conversion</x:v>
      </x:c>
      <x:c r="M5" s="23" t="str">
        <x:v>Monthly Sub Price</x:v>
      </x:c>
      <x:c r="N5" s="23" t="str">
        <x:v>XP Shop Attach</x:v>
      </x:c>
      <x:c r="O5" s="23" t="str">
        <x:v>XP Shop ARPPU</x:v>
      </x:c>
      <x:c r="P5" s="23" t="str">
        <x:v>Sponsor $ / Participant-Day</x:v>
      </x:c>
      <x:c r="Q5" s="23" t="str">
        <x:v>Active Sponsor Blocks</x:v>
      </x:c>
      <x:c r="R5" s="23" t="str">
        <x:v>Avg Monthly Sponsor Fee</x:v>
      </x:c>
      <x:c r="S5" s="23" t="str">
        <x:v>Sponsor Sales Cost %</x:v>
      </x:c>
      <x:c r="T5" s="23" t="str">
        <x:v>App Store Fee %</x:v>
      </x:c>
      <x:c r="U5" s="23" t="str">
        <x:v>Payment Fee %</x:v>
      </x:c>
      <x:c r="V5" s="23" t="str">
        <x:v>Server Cost / MAU</x:v>
      </x:c>
      <x:c r="W5" s="23" t="str">
        <x:v>Support Cost / MAU</x:v>
      </x:c>
      <x:c r="X5" s="23" t="str">
        <x:v>Month 1 Retention</x:v>
      </x:c>
      <x:c r="Y5" s="23" t="str">
        <x:v>Fixed Ops / Month</x:v>
      </x:c>
      <x:c r="Z5" s="23" t="str">
        <x:v>Creator / UGC / Month</x:v>
      </x:c>
      <x:c r="AA5" s="23" t="str">
        <x:v>Legal / Admin / Month</x:v>
      </x:c>
      <x:c r="AB5" s="23" t="str">
        <x:v>Founder Draw / Month</x:v>
      </x:c>
      <x:c r="AC5" s="23" t="str">
        <x:v>Cash Commitment Fee</x:v>
      </x:c>
      <x:c r="AD5" s="23" t="str">
        <x:v>Commitment Take Rate</x:v>
      </x:c>
      <x:c r="AE5" s="23" t="str">
        <x:v>Referral K Factor</x:v>
      </x:c>
      <x:c r="AF5" s="23" t="str">
        <x:v>FX KRW / USD</x:v>
      </x:c>
      <x:c r="AG5" s="23" t="str">
        <x:v>Source / Reasoning</x:v>
      </x:c>
    </x:row>
    <x:row r="6" ht="18" customHeight="1">
      <x:c r="A6" s="31" t="str">
        <x:v>Bear</x:v>
      </x:c>
      <x:c r="B6" s="31" t="str">
        <x:v>Closed-beta stays niche; founder-led sales only.</x:v>
      </x:c>
      <x:c r="C6" s="31" t="n">
        <x:v>500</x:v>
      </x:c>
      <x:c r="D6" s="31" t="n">
        <x:v>0.18</x:v>
      </x:c>
      <x:c r="E6" s="31" t="n">
        <x:v>0.55</x:v>
      </x:c>
      <x:c r="F6" s="31" t="n">
        <x:v>5.3</x:v>
      </x:c>
      <x:c r="G6" s="31" t="n">
        <x:v>0.45</x:v>
      </x:c>
      <x:c r="H6" s="31" t="n">
        <x:v>0.35</x:v>
      </x:c>
      <x:c r="I6" s="31" t="n">
        <x:v>0.18</x:v>
      </x:c>
      <x:c r="J6" s="31" t="n">
        <x:v>0.45</x:v>
      </x:c>
      <x:c r="K6" s="31" t="n">
        <x:v>1</x:v>
      </x:c>
      <x:c r="L6" s="31" t="n">
        <x:v>0.004</x:v>
      </x:c>
      <x:c r="M6" s="31" t="n">
        <x:v>7.99</x:v>
      </x:c>
      <x:c r="N6" s="31" t="n">
        <x:v>0.001</x:v>
      </x:c>
      <x:c r="O6" s="31" t="n">
        <x:v>3</x:v>
      </x:c>
      <x:c r="P6" s="31" t="n">
        <x:v>0.005</x:v>
      </x:c>
      <x:c r="Q6" s="31" t="n">
        <x:v>1</x:v>
      </x:c>
      <x:c r="R6" s="31" t="n">
        <x:v>1500</x:v>
      </x:c>
      <x:c r="S6" s="31" t="n">
        <x:v>0.12</x:v>
      </x:c>
      <x:c r="T6" s="31" t="n">
        <x:v>0.15</x:v>
      </x:c>
      <x:c r="U6" s="31" t="n">
        <x:v>0.032</x:v>
      </x:c>
      <x:c r="V6" s="31" t="n">
        <x:v>0.025</x:v>
      </x:c>
      <x:c r="W6" s="31" t="n">
        <x:v>0.02</x:v>
      </x:c>
      <x:c r="X6" s="31" t="n">
        <x:v>0.08</x:v>
      </x:c>
      <x:c r="Y6" s="31" t="n">
        <x:v>3500</x:v>
      </x:c>
      <x:c r="Z6" s="31" t="n">
        <x:v>1000</x:v>
      </x:c>
      <x:c r="AA6" s="31" t="n">
        <x:v>1000</x:v>
      </x:c>
      <x:c r="AB6" s="31" t="n">
        <x:v>0</x:v>
      </x:c>
      <x:c r="AC6" s="31" t="n">
        <x:v>0</x:v>
      </x:c>
      <x:c r="AD6" s="31" t="n">
        <x:v>0</x:v>
      </x:c>
      <x:c r="AE6" s="31" t="n">
        <x:v>0.03</x:v>
      </x:c>
      <x:c r="AF6" s="31" t="n">
        <x:v>1476.47</x:v>
      </x:c>
      <x:c r="AG6" s="31" t="str">
        <x:v>Conservative closed-beta case; external CPI/platform-fee anchors; Just 20 MVP has cash commitment fees off.</x:v>
      </x:c>
    </x:row>
    <x:row r="7" ht="18" customHeight="1">
      <x:c r="A7" s="31" t="str">
        <x:v>Realistic</x:v>
      </x:c>
      <x:c r="B7" s="31" t="str">
        <x:v>Usable founder beta turns into repeatable niche growth.</x:v>
      </x:c>
      <x:c r="C7" s="31" t="n">
        <x:v>1500</x:v>
      </x:c>
      <x:c r="D7" s="31" t="n">
        <x:v>0.28</x:v>
      </x:c>
      <x:c r="E7" s="31" t="n">
        <x:v>0.7</x:v>
      </x:c>
      <x:c r="F7" s="31" t="n">
        <x:v>4</x:v>
      </x:c>
      <x:c r="G7" s="31" t="n">
        <x:v>0.55</x:v>
      </x:c>
      <x:c r="H7" s="31" t="n">
        <x:v>0.45</x:v>
      </x:c>
      <x:c r="I7" s="31" t="n">
        <x:v>0.28</x:v>
      </x:c>
      <x:c r="J7" s="31" t="n">
        <x:v>0.58</x:v>
      </x:c>
      <x:c r="K7" s="31" t="n">
        <x:v>1.05</x:v>
      </x:c>
      <x:c r="L7" s="31" t="n">
        <x:v>0.012</x:v>
      </x:c>
      <x:c r="M7" s="31" t="n">
        <x:v>7.99</x:v>
      </x:c>
      <x:c r="N7" s="31" t="n">
        <x:v>0.004</x:v>
      </x:c>
      <x:c r="O7" s="31" t="n">
        <x:v>4</x:v>
      </x:c>
      <x:c r="P7" s="31" t="n">
        <x:v>0.02</x:v>
      </x:c>
      <x:c r="Q7" s="31" t="n">
        <x:v>3</x:v>
      </x:c>
      <x:c r="R7" s="31" t="n">
        <x:v>5000</x:v>
      </x:c>
      <x:c r="S7" s="31" t="n">
        <x:v>0.1</x:v>
      </x:c>
      <x:c r="T7" s="31" t="n">
        <x:v>0.15</x:v>
      </x:c>
      <x:c r="U7" s="31" t="n">
        <x:v>0.032</x:v>
      </x:c>
      <x:c r="V7" s="31" t="n">
        <x:v>0.035</x:v>
      </x:c>
      <x:c r="W7" s="31" t="n">
        <x:v>0.03</x:v>
      </x:c>
      <x:c r="X7" s="31" t="n">
        <x:v>0.16</x:v>
      </x:c>
      <x:c r="Y7" s="31" t="n">
        <x:v>6000</x:v>
      </x:c>
      <x:c r="Z7" s="31" t="n">
        <x:v>8000</x:v>
      </x:c>
      <x:c r="AA7" s="31" t="n">
        <x:v>2500</x:v>
      </x:c>
      <x:c r="AB7" s="31" t="n">
        <x:v>0</x:v>
      </x:c>
      <x:c r="AC7" s="31" t="n">
        <x:v>0</x:v>
      </x:c>
      <x:c r="AD7" s="31" t="n">
        <x:v>0</x:v>
      </x:c>
      <x:c r="AE7" s="31" t="n">
        <x:v>0.08</x:v>
      </x:c>
      <x:c r="AF7" s="31" t="n">
        <x:v>1476.47</x:v>
      </x:c>
      <x:c r="AG7" s="31" t="str">
        <x:v>Base case for closed beta to early public release: camera trust, streaks, badges, referrals, and small sponsor packages.</x:v>
      </x:c>
    </x:row>
    <x:row r="8" ht="18" customHeight="1">
      <x:c r="A8" s="31" t="str">
        <x:v>Bull</x:v>
      </x:c>
      <x:c r="B8" s="31" t="str">
        <x:v>Strong retention and visible social sharing unlock sponsors.</x:v>
      </x:c>
      <x:c r="C8" s="31" t="n">
        <x:v>5000</x:v>
      </x:c>
      <x:c r="D8" s="31" t="n">
        <x:v>0.36</x:v>
      </x:c>
      <x:c r="E8" s="31" t="n">
        <x:v>0.78</x:v>
      </x:c>
      <x:c r="F8" s="31" t="n">
        <x:v>3.25</x:v>
      </x:c>
      <x:c r="G8" s="31" t="n">
        <x:v>0.65</x:v>
      </x:c>
      <x:c r="H8" s="31" t="n">
        <x:v>0.55</x:v>
      </x:c>
      <x:c r="I8" s="31" t="n">
        <x:v>0.38</x:v>
      </x:c>
      <x:c r="J8" s="31" t="n">
        <x:v>0.64</x:v>
      </x:c>
      <x:c r="K8" s="31" t="n">
        <x:v>1.15</x:v>
      </x:c>
      <x:c r="L8" s="31" t="n">
        <x:v>0.025</x:v>
      </x:c>
      <x:c r="M8" s="31" t="n">
        <x:v>9.99</x:v>
      </x:c>
      <x:c r="N8" s="31" t="n">
        <x:v>0.009</x:v>
      </x:c>
      <x:c r="O8" s="31" t="n">
        <x:v>5</x:v>
      </x:c>
      <x:c r="P8" s="31" t="n">
        <x:v>0.055</x:v>
      </x:c>
      <x:c r="Q8" s="31" t="n">
        <x:v>8</x:v>
      </x:c>
      <x:c r="R8" s="31" t="n">
        <x:v>15000</x:v>
      </x:c>
      <x:c r="S8" s="31" t="n">
        <x:v>0.09</x:v>
      </x:c>
      <x:c r="T8" s="31" t="n">
        <x:v>0.15</x:v>
      </x:c>
      <x:c r="U8" s="31" t="n">
        <x:v>0.032</x:v>
      </x:c>
      <x:c r="V8" s="31" t="n">
        <x:v>0.045</x:v>
      </x:c>
      <x:c r="W8" s="31" t="n">
        <x:v>0.04</x:v>
      </x:c>
      <x:c r="X8" s="31" t="n">
        <x:v>0.25</x:v>
      </x:c>
      <x:c r="Y8" s="31" t="n">
        <x:v>18000</x:v>
      </x:c>
      <x:c r="Z8" s="31" t="n">
        <x:v>30000</x:v>
      </x:c>
      <x:c r="AA8" s="31" t="n">
        <x:v>7000</x:v>
      </x:c>
      <x:c r="AB8" s="31" t="n">
        <x:v>5000</x:v>
      </x:c>
      <x:c r="AC8" s="31" t="n">
        <x:v>0</x:v>
      </x:c>
      <x:c r="AD8" s="31" t="n">
        <x:v>0</x:v>
      </x:c>
      <x:c r="AE8" s="31" t="n">
        <x:v>0.16</x:v>
      </x:c>
      <x:c r="AF8" s="31" t="n">
        <x:v>1476.47</x:v>
      </x:c>
      <x:c r="AG8" s="31" t="str">
        <x:v>High-performing social fitness habit app with category sponsor demand and paid conversion approaching health-fitness benchmark levels.</x:v>
      </x:c>
    </x:row>
    <x:row r="9" ht="18" customHeight="1">
      <x:c r="A9" s="31" t="str">
        <x:v>Breakout</x:v>
      </x:c>
      <x:c r="B9" s="31" t="str">
        <x:v>Cultural challenge loop breaks out across campuses/social.</x:v>
      </x:c>
      <x:c r="C9" s="31" t="n">
        <x:v>15000</x:v>
      </x:c>
      <x:c r="D9" s="31" t="n">
        <x:v>0.47</x:v>
      </x:c>
      <x:c r="E9" s="31" t="n">
        <x:v>0.88</x:v>
      </x:c>
      <x:c r="F9" s="31" t="n">
        <x:v>2.4</x:v>
      </x:c>
      <x:c r="G9" s="31" t="n">
        <x:v>0.75</x:v>
      </x:c>
      <x:c r="H9" s="31" t="n">
        <x:v>0.65</x:v>
      </x:c>
      <x:c r="I9" s="31" t="n">
        <x:v>0.5</x:v>
      </x:c>
      <x:c r="J9" s="31" t="n">
        <x:v>0.7</x:v>
      </x:c>
      <x:c r="K9" s="31" t="n">
        <x:v>1.25</x:v>
      </x:c>
      <x:c r="L9" s="31" t="n">
        <x:v>0.045</x:v>
      </x:c>
      <x:c r="M9" s="31" t="n">
        <x:v>9.99</x:v>
      </x:c>
      <x:c r="N9" s="31" t="n">
        <x:v>0.018</x:v>
      </x:c>
      <x:c r="O9" s="31" t="n">
        <x:v>7</x:v>
      </x:c>
      <x:c r="P9" s="31" t="n">
        <x:v>0.1</x:v>
      </x:c>
      <x:c r="Q9" s="31" t="n">
        <x:v>18</x:v>
      </x:c>
      <x:c r="R9" s="31" t="n">
        <x:v>45000</x:v>
      </x:c>
      <x:c r="S9" s="31" t="n">
        <x:v>0.08</x:v>
      </x:c>
      <x:c r="T9" s="31" t="n">
        <x:v>0.15</x:v>
      </x:c>
      <x:c r="U9" s="31" t="n">
        <x:v>0.032</x:v>
      </x:c>
      <x:c r="V9" s="31" t="n">
        <x:v>0.055</x:v>
      </x:c>
      <x:c r="W9" s="31" t="n">
        <x:v>0.05</x:v>
      </x:c>
      <x:c r="X9" s="31" t="n">
        <x:v>0.35</x:v>
      </x:c>
      <x:c r="Y9" s="31" t="n">
        <x:v>60000</x:v>
      </x:c>
      <x:c r="Z9" s="31" t="n">
        <x:v>150000</x:v>
      </x:c>
      <x:c r="AA9" s="31" t="n">
        <x:v>20000</x:v>
      </x:c>
      <x:c r="AB9" s="31" t="n">
        <x:v>15000</x:v>
      </x:c>
      <x:c r="AC9" s="31" t="n">
        <x:v>0</x:v>
      </x:c>
      <x:c r="AD9" s="31" t="n">
        <x:v>0</x:v>
      </x:c>
      <x:c r="AE9" s="31" t="n">
        <x:v>0.28</x:v>
      </x:c>
      <x:c r="AF9" s="31" t="n">
        <x:v>1476.47</x:v>
      </x:c>
      <x:c r="AG9" s="31" t="str">
        <x:v>Breakout case assumes proof-card virality, squads, campus/workplace challenges, and sponsor scarcity.</x:v>
      </x:c>
    </x:row>
    <x:row r="10" ht="18" customHeight="1"/>
    <x:row r="11" ht="18" customHeight="1"/>
    <x:row r="12" ht="18" customHeight="1">
      <x:c r="A12" s="14" t="str">
        <x:v>Scenario Reading Guide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31.5" customHeight="1">
      <x:c r="A13" s="23" t="str">
        <x:v>Item</x:v>
      </x:c>
      <x:c r="B13" s="23" t="str">
        <x:v>Model stance</x:v>
      </x:c>
      <x:c r="C13" s="23" t="str">
        <x:v>Why it changed from the prior workbook</x:v>
      </x:c>
      <x:c r="D13" t="str"/>
      <x:c r="E13" t="str"/>
      <x:c r="F13" t="str"/>
      <x:c r="G13" t="str"/>
      <x:c r="H13" t="str"/>
      <x:c r="I13" t="str"/>
      <x:c r="J13" t="str"/>
      <x:c r="K13" t="str"/>
    </x:row>
    <x:row r="14" ht="31.5" customHeight="1">
      <x:c r="A14" s="31" t="str">
        <x:v>Cash commitment fees</x:v>
      </x:c>
      <x:c r="B14" s="31" t="str">
        <x:v>Off by default</x:v>
      </x:c>
      <x:c r="C14" s="31" t="str">
        <x:v>Not part of MVP1. Closed beta should optimize trust, streaks, and body tracking before money-back challenge mechanics.</x:v>
      </x:c>
      <x:c r="D14" t="str"/>
      <x:c r="E14" t="str"/>
      <x:c r="F14" t="str"/>
      <x:c r="G14" t="str"/>
      <x:c r="H14" t="str"/>
      <x:c r="I14" t="str"/>
      <x:c r="J14" t="str"/>
      <x:c r="K14" t="str"/>
    </x:row>
    <x:row r="15" ht="31.5" customHeight="1">
      <x:c r="A15" s="31" t="str">
        <x:v>Sponsor revenue</x:v>
      </x:c>
      <x:c r="B15" s="31" t="str">
        <x:v>Still central, but staged</x:v>
      </x:c>
      <x:c r="C15" s="31" t="str">
        <x:v>Early revenue is small local packages; participant-day economics matter after retained usage and proof-card reach exist.</x:v>
      </x:c>
      <x:c r="D15" t="str"/>
      <x:c r="E15" t="str"/>
      <x:c r="F15" t="str"/>
      <x:c r="G15" t="str"/>
      <x:c r="H15" t="str"/>
      <x:c r="I15" t="str"/>
      <x:c r="J15" t="str"/>
      <x:c r="K15" t="str"/>
    </x:row>
    <x:row r="16" ht="31.5" customHeight="1">
      <x:c r="A16" s="31" t="str">
        <x:v>Payer conversion</x:v>
      </x:c>
      <x:c r="B16" s="31" t="str">
        <x:v>Conservative until habit exists</x:v>
      </x:c>
      <x:c r="C16" s="31" t="str">
        <x:v>Just 20 should earn the right to charge through reliable tracking, analytics, social loops, and XP/badge utility.</x:v>
      </x:c>
      <x:c r="D16" t="str"/>
      <x:c r="E16" t="str"/>
      <x:c r="F16" t="str"/>
      <x:c r="G16" t="str"/>
      <x:c r="H16" t="str"/>
      <x:c r="I16" t="str"/>
      <x:c r="J16" t="str"/>
      <x:c r="K16" t="str"/>
    </x:row>
    <x:row r="17" ht="31.5" customHeight="1">
      <x:c r="A17" s="31" t="str">
        <x:v>Locale</x:v>
      </x:c>
      <x:c r="B17" s="31" t="str">
        <x:v>US-first with Korea as secondary</x:v>
      </x:c>
      <x:c r="C17" s="31" t="str">
        <x:v>Workbook stays in USD; Korea pricing/FX is visible for planning but should be refreshed before launch decisions.</x:v>
      </x:c>
      <x:c r="D17" t="str"/>
      <x:c r="E17" t="str"/>
      <x:c r="F17" t="str"/>
      <x:c r="G17" t="str"/>
      <x:c r="H17" t="str"/>
      <x:c r="I17" t="str"/>
      <x:c r="J17" t="str"/>
      <x:c r="K17" t="str"/>
    </x:row>
    <x:row r="18" ht="31.5" customHeight="1">
      <x:c r="A18" s="31" t="str">
        <x:v>Breakout case</x:v>
      </x:c>
      <x:c r="B18" s="31" t="str">
        <x:v>Viral stress test, not base plan</x:v>
      </x:c>
      <x:c r="C18" s="31" t="str">
        <x:v>Used to size infrastructure, sponsor upside, and strategic optionality without letting it distort MVP decisions.</x:v>
      </x:c>
      <x:c r="D18" t="str"/>
      <x:c r="E18" t="str"/>
      <x:c r="F18" t="str"/>
      <x:c r="G18" t="str"/>
      <x:c r="H18" t="str"/>
      <x:c r="I18" t="str"/>
      <x:c r="J18" t="str"/>
      <x:c r="K18" t="str"/>
    </x:row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AG1"/>
    <x:mergeCell ref="A2:AG2"/>
    <x:mergeCell ref="A4:AG4"/>
    <x:mergeCell ref="A12:K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0.920000076293945" hidden="0" customWidth="1"/>
    <x:col min="3" max="3" width="10.920000076293945" hidden="0" customWidth="1"/>
    <x:col min="4" max="4" width="10.920000076293945" hidden="0" customWidth="1"/>
    <x:col min="5" max="5" width="10.920000076293945" hidden="0" customWidth="1"/>
    <x:col min="6" max="6" width="10.920000076293945" hidden="0" customWidth="1"/>
    <x:col min="7" max="7" width="10.920000076293945" hidden="0" customWidth="1"/>
    <x:col min="8" max="8" width="10.920000076293945" hidden="0" customWidth="1"/>
    <x:col min="9" max="9" width="10.920000076293945" hidden="0" customWidth="1"/>
    <x:col min="10" max="10" width="10.920000076293945" hidden="0" customWidth="1"/>
    <x:col min="11" max="11" width="10.920000076293945" hidden="0" customWidth="1"/>
    <x:col min="12" max="12" width="10.920000076293945" hidden="0" customWidth="1"/>
    <x:col min="13" max="13" width="10.920000076293945" hidden="0" customWidth="1"/>
    <x:col min="14" max="14" width="10.920000076293945" hidden="0" customWidth="1"/>
    <x:col min="15" max="15" width="25.149999618530273" hidden="0" customWidth="1"/>
    <x:col min="16" max="16" width="14.109999656677246" hidden="0" customWidth="1"/>
  </x:cols>
  <x:sheetData>
    <x:row r="1" ht="18" customHeight="1">
      <x:c r="A1" s="6" t="str">
        <x:v>Selected Scenario 12-Month Revenue Build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18" customHeight="1">
      <x:c r="A2" s="10" t="str">
        <x:v>Formula-linked monthly model driven by Exec Summary scenario selection and Assumptions. Cash commitment mechanics remain off unless enabled in Assumptions.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18" customHeight="1"/>
    <x:row r="4" ht="18" customHeight="1">
      <x:c r="A4" s="23" t="str">
        <x:v>Metric</x:v>
      </x:c>
      <x:c r="B4" s="23" t="str">
        <x:v>M1</x:v>
      </x:c>
      <x:c r="C4" s="23" t="str">
        <x:v>M2</x:v>
      </x:c>
      <x:c r="D4" s="23" t="str">
        <x:v>M3</x:v>
      </x:c>
      <x:c r="E4" s="23" t="str">
        <x:v>M4</x:v>
      </x:c>
      <x:c r="F4" s="23" t="str">
        <x:v>M5</x:v>
      </x:c>
      <x:c r="G4" s="23" t="str">
        <x:v>M6</x:v>
      </x:c>
      <x:c r="H4" s="23" t="str">
        <x:v>M7</x:v>
      </x:c>
      <x:c r="I4" s="23" t="str">
        <x:v>M8</x:v>
      </x:c>
      <x:c r="J4" s="23" t="str">
        <x:v>M9</x:v>
      </x:c>
      <x:c r="K4" s="23" t="str">
        <x:v>M10</x:v>
      </x:c>
      <x:c r="L4" s="23" t="str">
        <x:v>M11</x:v>
      </x:c>
      <x:c r="M4" s="23" t="str">
        <x:v>M12</x:v>
      </x:c>
      <x:c r="N4" s="23" t="str">
        <x:v>Annual / M12</x:v>
      </x:c>
      <x:c r="O4" s="23" t="str">
        <x:v>Driver</x:v>
      </x:c>
      <x:c r="P4" s="23" t="str">
        <x:v>Active Value</x:v>
      </x:c>
    </x:row>
    <x:row r="5" ht="18" customHeight="1">
      <x:c r="A5" s="18"/>
      <x:c r="B5" s="18" t="n">
        <x:v>1</x:v>
      </x:c>
      <x:c r="C5" s="18" t="n">
        <x:v>2</x:v>
      </x:c>
      <x:c r="D5" s="18" t="n">
        <x:v>3</x:v>
      </x:c>
      <x:c r="E5" s="18" t="n">
        <x:v>4</x:v>
      </x:c>
      <x:c r="F5" s="18" t="n">
        <x:v>5</x:v>
      </x:c>
      <x:c r="G5" s="18" t="n">
        <x:v>6</x:v>
      </x:c>
      <x:c r="H5" s="18" t="n">
        <x:v>7</x:v>
      </x:c>
      <x:c r="I5" s="18" t="n">
        <x:v>8</x:v>
      </x:c>
      <x:c r="J5" s="18" t="n">
        <x:v>9</x:v>
      </x:c>
      <x:c r="K5" s="18" t="n">
        <x:v>10</x:v>
      </x:c>
      <x:c r="L5" s="18" t="n">
        <x:v>11</x:v>
      </x:c>
      <x:c r="M5" s="18" t="n">
        <x:v>12</x:v>
      </x:c>
      <x:c r="N5" s="18"/>
      <x:c r="O5" s="18" t="str">
        <x:v>Selected Scenario</x:v>
      </x:c>
      <x:c r="P5" s="18" t="str">
        <x:f>'Exec Summary'!$B$6</x:f>
        <x:v>Realistic</x:v>
      </x:c>
    </x:row>
    <x:row r="6" ht="18" customHeight="1">
      <x:c r="A6" s="18" t="str">
        <x:v>MAU</x:v>
      </x:c>
      <x:c r="B6" s="32" t="n">
        <x:f>ROUND($P$6*(1+$P$7)^(B$5-1),0)</x:f>
        <x:v>1500</x:v>
      </x:c>
      <x:c r="C6" s="32" t="n">
        <x:f>ROUND($P$6*(1+$P$7)^(C$5-1),0)</x:f>
        <x:v>1920</x:v>
      </x:c>
      <x:c r="D6" s="32" t="n">
        <x:f>ROUND($P$6*(1+$P$7)^(D$5-1),0)</x:f>
        <x:v>2458</x:v>
      </x:c>
      <x:c r="E6" s="32" t="n">
        <x:f>ROUND($P$6*(1+$P$7)^(E$5-1),0)</x:f>
        <x:v>3146</x:v>
      </x:c>
      <x:c r="F6" s="32" t="n">
        <x:f>ROUND($P$6*(1+$P$7)^(F$5-1),0)</x:f>
        <x:v>4027</x:v>
      </x:c>
      <x:c r="G6" s="32" t="n">
        <x:f>ROUND($P$6*(1+$P$7)^(G$5-1),0)</x:f>
        <x:v>5154</x:v>
      </x:c>
      <x:c r="H6" s="32" t="n">
        <x:f>ROUND($P$6*(1+$P$7)^(H$5-1),0)</x:f>
        <x:v>6597</x:v>
      </x:c>
      <x:c r="I6" s="32" t="n">
        <x:f>ROUND($P$6*(1+$P$7)^(I$5-1),0)</x:f>
        <x:v>8444</x:v>
      </x:c>
      <x:c r="J6" s="32" t="n">
        <x:f>ROUND($P$6*(1+$P$7)^(J$5-1),0)</x:f>
        <x:v>10809</x:v>
      </x:c>
      <x:c r="K6" s="32" t="n">
        <x:f>ROUND($P$6*(1+$P$7)^(K$5-1),0)</x:f>
        <x:v>13835</x:v>
      </x:c>
      <x:c r="L6" s="32" t="n">
        <x:f>ROUND($P$6*(1+$P$7)^(L$5-1),0)</x:f>
        <x:v>17709</x:v>
      </x:c>
      <x:c r="M6" s="32" t="n">
        <x:f>ROUND($P$6*(1+$P$7)^(M$5-1),0)</x:f>
        <x:v>22667</x:v>
      </x:c>
      <x:c r="N6" s="32" t="n">
        <x:f>M6</x:f>
        <x:v>22667</x:v>
      </x:c>
      <x:c r="O6" s="18" t="str">
        <x:v>M1 MAU</x:v>
      </x:c>
      <x:c r="P6" s="37" t="n">
        <x:f>INDEX(Assumptions!$C$6:$C$9,MATCH($P$5,Assumptions!$A$6:$A$9,0))</x:f>
        <x:v>1500</x:v>
      </x:c>
    </x:row>
    <x:row r="7" ht="18" customHeight="1">
      <x:c r="A7" s="18" t="str">
        <x:v>Implied new installs</x:v>
      </x:c>
      <x:c r="B7" s="32" t="n">
        <x:f>ROUND(B6/($P$10*$P$11),0)</x:f>
        <x:v>6061</x:v>
      </x:c>
      <x:c r="C7" s="32" t="n">
        <x:f>ROUND(MAX(0,(C6-B6*$P$27)/($P$10*$P$11)),0)</x:f>
        <x:v>6788</x:v>
      </x:c>
      <x:c r="D7" s="32" t="n">
        <x:f>ROUND(MAX(0,(D6-C6*$P$27)/($P$10*$P$11)),0)</x:f>
        <x:v>8690</x:v>
      </x:c>
      <x:c r="E7" s="32" t="n">
        <x:f>ROUND(MAX(0,(E6-D6*$P$27)/($P$10*$P$11)),0)</x:f>
        <x:v>11122</x:v>
      </x:c>
      <x:c r="F7" s="32" t="n">
        <x:f>ROUND(MAX(0,(F6-E6*$P$27)/($P$10*$P$11)),0)</x:f>
        <x:v>14237</x:v>
      </x:c>
      <x:c r="G7" s="32" t="n">
        <x:f>ROUND(MAX(0,(G6-F6*$P$27)/($P$10*$P$11)),0)</x:f>
        <x:v>18221</x:v>
      </x:c>
      <x:c r="H7" s="32" t="n">
        <x:f>ROUND(MAX(0,(H6-G6*$P$27)/($P$10*$P$11)),0)</x:f>
        <x:v>23323</x:v>
      </x:c>
      <x:c r="I7" s="32" t="n">
        <x:f>ROUND(MAX(0,(I6-H6*$P$27)/($P$10*$P$11)),0)</x:f>
        <x:v>29852</x:v>
      </x:c>
      <x:c r="J7" s="32" t="n">
        <x:f>ROUND(MAX(0,(J6-I6*$P$27)/($P$10*$P$11)),0)</x:f>
        <x:v>38214</x:v>
      </x:c>
      <x:c r="K7" s="32" t="n">
        <x:f>ROUND(MAX(0,(K6-J6*$P$27)/($P$10*$P$11)),0)</x:f>
        <x:v>48911</x:v>
      </x:c>
      <x:c r="L7" s="32" t="n">
        <x:f>ROUND(MAX(0,(L6-K6*$P$27)/($P$10*$P$11)),0)</x:f>
        <x:v>62608</x:v>
      </x:c>
      <x:c r="M7" s="32" t="n">
        <x:f>ROUND(MAX(0,(M6-L6*$P$27)/($P$10*$P$11)),0)</x:f>
        <x:v>80136</x:v>
      </x:c>
      <x:c r="N7" s="32" t="n">
        <x:f>SUM(B7:M7)</x:f>
        <x:v>348163</x:v>
      </x:c>
      <x:c r="O7" s="18" t="str">
        <x:v>Monthly MAU Growth</x:v>
      </x:c>
      <x:c r="P7" s="34" t="n">
        <x:f>INDEX(Assumptions!$D$6:$D$9,MATCH($P$5,Assumptions!$A$6:$A$9,0))</x:f>
        <x:v>0.28</x:v>
      </x:c>
    </x:row>
    <x:row r="8" ht="18" customHeight="1">
      <x:c r="A8" s="18" t="str">
        <x:v>Paid installs</x:v>
      </x:c>
      <x:c r="B8" s="32" t="n">
        <x:f>ROUND(B7*(1-$P$8),0)</x:f>
        <x:v>1818</x:v>
      </x:c>
      <x:c r="C8" s="32" t="n">
        <x:f>ROUND(C7*(1-$P$8),0)</x:f>
        <x:v>2036</x:v>
      </x:c>
      <x:c r="D8" s="32" t="n">
        <x:f>ROUND(D7*(1-$P$8),0)</x:f>
        <x:v>2607</x:v>
      </x:c>
      <x:c r="E8" s="32" t="n">
        <x:f>ROUND(E7*(1-$P$8),0)</x:f>
        <x:v>3337</x:v>
      </x:c>
      <x:c r="F8" s="32" t="n">
        <x:f>ROUND(F7*(1-$P$8),0)</x:f>
        <x:v>4271</x:v>
      </x:c>
      <x:c r="G8" s="32" t="n">
        <x:f>ROUND(G7*(1-$P$8),0)</x:f>
        <x:v>5466</x:v>
      </x:c>
      <x:c r="H8" s="32" t="n">
        <x:f>ROUND(H7*(1-$P$8),0)</x:f>
        <x:v>6997</x:v>
      </x:c>
      <x:c r="I8" s="32" t="n">
        <x:f>ROUND(I7*(1-$P$8),0)</x:f>
        <x:v>8956</x:v>
      </x:c>
      <x:c r="J8" s="32" t="n">
        <x:f>ROUND(J7*(1-$P$8),0)</x:f>
        <x:v>11464</x:v>
      </x:c>
      <x:c r="K8" s="32" t="n">
        <x:f>ROUND(K7*(1-$P$8),0)</x:f>
        <x:v>14673</x:v>
      </x:c>
      <x:c r="L8" s="32" t="n">
        <x:f>ROUND(L7*(1-$P$8),0)</x:f>
        <x:v>18782</x:v>
      </x:c>
      <x:c r="M8" s="32" t="n">
        <x:f>ROUND(M7*(1-$P$8),0)</x:f>
        <x:v>24041</x:v>
      </x:c>
      <x:c r="N8" s="32" t="n">
        <x:f>SUM(B8:M8)</x:f>
        <x:v>104448</x:v>
      </x:c>
      <x:c r="O8" s="18" t="str">
        <x:v>Organic / Viral Share</x:v>
      </x:c>
      <x:c r="P8" s="34" t="n">
        <x:f>INDEX(Assumptions!$E$6:$E$9,MATCH($P$5,Assumptions!$A$6:$A$9,0))</x:f>
        <x:v>0.7</x:v>
      </x:c>
    </x:row>
    <x:row r="9" ht="18" customHeight="1">
      <x:c r="A9" s="18" t="str">
        <x:v>Paid UA spend</x:v>
      </x:c>
      <x:c r="B9" s="33" t="n">
        <x:f>B8*$P$9</x:f>
        <x:v>7272</x:v>
      </x:c>
      <x:c r="C9" s="33" t="n">
        <x:f>C8*$P$9</x:f>
        <x:v>8144</x:v>
      </x:c>
      <x:c r="D9" s="33" t="n">
        <x:f>D8*$P$9</x:f>
        <x:v>10428</x:v>
      </x:c>
      <x:c r="E9" s="33" t="n">
        <x:f>E8*$P$9</x:f>
        <x:v>13348</x:v>
      </x:c>
      <x:c r="F9" s="33" t="n">
        <x:f>F8*$P$9</x:f>
        <x:v>17084</x:v>
      </x:c>
      <x:c r="G9" s="33" t="n">
        <x:f>G8*$P$9</x:f>
        <x:v>21864</x:v>
      </x:c>
      <x:c r="H9" s="33" t="n">
        <x:f>H8*$P$9</x:f>
        <x:v>27988</x:v>
      </x:c>
      <x:c r="I9" s="33" t="n">
        <x:f>I8*$P$9</x:f>
        <x:v>35824</x:v>
      </x:c>
      <x:c r="J9" s="33" t="n">
        <x:f>J8*$P$9</x:f>
        <x:v>45856</x:v>
      </x:c>
      <x:c r="K9" s="33" t="n">
        <x:f>K8*$P$9</x:f>
        <x:v>58692</x:v>
      </x:c>
      <x:c r="L9" s="33" t="n">
        <x:f>L8*$P$9</x:f>
        <x:v>75128</x:v>
      </x:c>
      <x:c r="M9" s="33" t="n">
        <x:f>M8*$P$9</x:f>
        <x:v>96164</x:v>
      </x:c>
      <x:c r="N9" s="33" t="n">
        <x:f>SUM(B9:M9)</x:f>
        <x:v>417792</x:v>
      </x:c>
      <x:c r="O9" s="18" t="str">
        <x:v>Paid CPI</x:v>
      </x:c>
      <x:c r="P9" s="35" t="n">
        <x:f>INDEX(Assumptions!$F$6:$F$9,MATCH($P$5,Assumptions!$A$6:$A$9,0))</x:f>
        <x:v>4</x:v>
      </x:c>
    </x:row>
    <x:row r="10" ht="18" customHeight="1">
      <x:c r="A10" s="18" t="str">
        <x:v>DAU</x:v>
      </x:c>
      <x:c r="B10" s="32" t="n">
        <x:f>ROUND(B6*$P$12,0)</x:f>
        <x:v>420</x:v>
      </x:c>
      <x:c r="C10" s="32" t="n">
        <x:f>ROUND(C6*$P$12,0)</x:f>
        <x:v>538</x:v>
      </x:c>
      <x:c r="D10" s="32" t="n">
        <x:f>ROUND(D6*$P$12,0)</x:f>
        <x:v>688</x:v>
      </x:c>
      <x:c r="E10" s="32" t="n">
        <x:f>ROUND(E6*$P$12,0)</x:f>
        <x:v>881</x:v>
      </x:c>
      <x:c r="F10" s="32" t="n">
        <x:f>ROUND(F6*$P$12,0)</x:f>
        <x:v>1128</x:v>
      </x:c>
      <x:c r="G10" s="32" t="n">
        <x:f>ROUND(G6*$P$12,0)</x:f>
        <x:v>1443</x:v>
      </x:c>
      <x:c r="H10" s="32" t="n">
        <x:f>ROUND(H6*$P$12,0)</x:f>
        <x:v>1847</x:v>
      </x:c>
      <x:c r="I10" s="32" t="n">
        <x:f>ROUND(I6*$P$12,0)</x:f>
        <x:v>2364</x:v>
      </x:c>
      <x:c r="J10" s="32" t="n">
        <x:f>ROUND(J6*$P$12,0)</x:f>
        <x:v>3027</x:v>
      </x:c>
      <x:c r="K10" s="32" t="n">
        <x:f>ROUND(K6*$P$12,0)</x:f>
        <x:v>3874</x:v>
      </x:c>
      <x:c r="L10" s="32" t="n">
        <x:f>ROUND(L6*$P$12,0)</x:f>
        <x:v>4959</x:v>
      </x:c>
      <x:c r="M10" s="32" t="n">
        <x:f>ROUND(M6*$P$12,0)</x:f>
        <x:v>6347</x:v>
      </x:c>
      <x:c r="N10" s="32" t="n">
        <x:f>M10</x:f>
        <x:v>6347</x:v>
      </x:c>
      <x:c r="O10" s="18" t="str">
        <x:v>Install -&gt; Signup</x:v>
      </x:c>
      <x:c r="P10" s="34" t="n">
        <x:f>INDEX(Assumptions!$G$6:$G$9,MATCH($P$5,Assumptions!$A$6:$A$9,0))</x:f>
        <x:v>0.55</x:v>
      </x:c>
    </x:row>
    <x:row r="11" ht="18" customHeight="1">
      <x:c r="A11" s="18" t="str">
        <x:v>Participant-days</x:v>
      </x:c>
      <x:c r="B11" s="32" t="n">
        <x:f>B10*30</x:f>
        <x:v>12600</x:v>
      </x:c>
      <x:c r="C11" s="32" t="n">
        <x:f>C10*30</x:f>
        <x:v>16140</x:v>
      </x:c>
      <x:c r="D11" s="32" t="n">
        <x:f>D10*30</x:f>
        <x:v>20640</x:v>
      </x:c>
      <x:c r="E11" s="32" t="n">
        <x:f>E10*30</x:f>
        <x:v>26430</x:v>
      </x:c>
      <x:c r="F11" s="32" t="n">
        <x:f>F10*30</x:f>
        <x:v>33840</x:v>
      </x:c>
      <x:c r="G11" s="32" t="n">
        <x:f>G10*30</x:f>
        <x:v>43290</x:v>
      </x:c>
      <x:c r="H11" s="32" t="n">
        <x:f>H10*30</x:f>
        <x:v>55410</x:v>
      </x:c>
      <x:c r="I11" s="32" t="n">
        <x:f>I10*30</x:f>
        <x:v>70920</x:v>
      </x:c>
      <x:c r="J11" s="32" t="n">
        <x:f>J10*30</x:f>
        <x:v>90810</x:v>
      </x:c>
      <x:c r="K11" s="32" t="n">
        <x:f>K10*30</x:f>
        <x:v>116220</x:v>
      </x:c>
      <x:c r="L11" s="32" t="n">
        <x:f>L10*30</x:f>
        <x:v>148770</x:v>
      </x:c>
      <x:c r="M11" s="32" t="n">
        <x:f>M10*30</x:f>
        <x:v>190410</x:v>
      </x:c>
      <x:c r="N11" s="32" t="n">
        <x:f>SUM(B11:M11)</x:f>
        <x:v>825480</x:v>
      </x:c>
      <x:c r="O11" s="18" t="str">
        <x:v>Signup -&gt; First Workout</x:v>
      </x:c>
      <x:c r="P11" s="34" t="n">
        <x:f>INDEX(Assumptions!$H$6:$H$9,MATCH($P$5,Assumptions!$A$6:$A$9,0))</x:f>
        <x:v>0.45</x:v>
      </x:c>
    </x:row>
    <x:row r="12" ht="18" customHeight="1">
      <x:c r="A12" s="18" t="str">
        <x:v>Completed workouts</x:v>
      </x:c>
      <x:c r="B12" s="32" t="n">
        <x:f>B11*$P$13*$P$14</x:f>
        <x:v>7673.4</x:v>
      </x:c>
      <x:c r="C12" s="32" t="n">
        <x:f>C11*$P$13*$P$14</x:f>
        <x:v>9829.259999999998</x:v>
      </x:c>
      <x:c r="D12" s="32" t="n">
        <x:f>D11*$P$13*$P$14</x:f>
        <x:v>12569.76</x:v>
      </x:c>
      <x:c r="E12" s="32" t="n">
        <x:f>E11*$P$13*$P$14</x:f>
        <x:v>16095.87</x:v>
      </x:c>
      <x:c r="F12" s="32" t="n">
        <x:f>F11*$P$13*$P$14</x:f>
        <x:v>20608.559999999998</x:v>
      </x:c>
      <x:c r="G12" s="32" t="n">
        <x:f>G11*$P$13*$P$14</x:f>
        <x:v>26363.609999999997</x:v>
      </x:c>
      <x:c r="H12" s="32" t="n">
        <x:f>H11*$P$13*$P$14</x:f>
        <x:v>33744.69</x:v>
      </x:c>
      <x:c r="I12" s="32" t="n">
        <x:f>I11*$P$13*$P$14</x:f>
        <x:v>43190.28</x:v>
      </x:c>
      <x:c r="J12" s="32" t="n">
        <x:f>J11*$P$13*$P$14</x:f>
        <x:v>55303.29</x:v>
      </x:c>
      <x:c r="K12" s="32" t="n">
        <x:f>K11*$P$13*$P$14</x:f>
        <x:v>70777.98</x:v>
      </x:c>
      <x:c r="L12" s="32" t="n">
        <x:f>L11*$P$13*$P$14</x:f>
        <x:v>90600.93</x:v>
      </x:c>
      <x:c r="M12" s="32" t="n">
        <x:f>M11*$P$13*$P$14</x:f>
        <x:v>115959.68999999999</x:v>
      </x:c>
      <x:c r="N12" s="32" t="n">
        <x:f>SUM(B12:M12)</x:f>
        <x:v>502717.32</x:v>
      </x:c>
      <x:c r="O12" s="18" t="str">
        <x:v>DAU / MAU</x:v>
      </x:c>
      <x:c r="P12" s="34" t="n">
        <x:f>INDEX(Assumptions!$I$6:$I$9,MATCH($P$5,Assumptions!$A$6:$A$9,0))</x:f>
        <x:v>0.28</x:v>
      </x:c>
    </x:row>
    <x:row r="13" ht="18" customHeight="1">
      <x:c r="A13" s="18" t="str">
        <x:v>Sponsor participant-day revenue</x:v>
      </x:c>
      <x:c r="B13" s="33" t="n">
        <x:f>B11*$P$19</x:f>
        <x:v>252</x:v>
      </x:c>
      <x:c r="C13" s="33" t="n">
        <x:f>C11*$P$19</x:f>
        <x:v>322.8</x:v>
      </x:c>
      <x:c r="D13" s="33" t="n">
        <x:f>D11*$P$19</x:f>
        <x:v>412.8</x:v>
      </x:c>
      <x:c r="E13" s="33" t="n">
        <x:f>E11*$P$19</x:f>
        <x:v>528.6</x:v>
      </x:c>
      <x:c r="F13" s="33" t="n">
        <x:f>F11*$P$19</x:f>
        <x:v>676.8000000000001</x:v>
      </x:c>
      <x:c r="G13" s="33" t="n">
        <x:f>G11*$P$19</x:f>
        <x:v>865.8000000000001</x:v>
      </x:c>
      <x:c r="H13" s="33" t="n">
        <x:f>H11*$P$19</x:f>
        <x:v>1108.2</x:v>
      </x:c>
      <x:c r="I13" s="33" t="n">
        <x:f>I11*$P$19</x:f>
        <x:v>1418.4</x:v>
      </x:c>
      <x:c r="J13" s="33" t="n">
        <x:f>J11*$P$19</x:f>
        <x:v>1816.2</x:v>
      </x:c>
      <x:c r="K13" s="33" t="n">
        <x:f>K11*$P$19</x:f>
        <x:v>2324.4</x:v>
      </x:c>
      <x:c r="L13" s="33" t="n">
        <x:f>L11*$P$19</x:f>
        <x:v>2975.4</x:v>
      </x:c>
      <x:c r="M13" s="33" t="n">
        <x:f>M11*$P$19</x:f>
        <x:v>3808.2000000000003</x:v>
      </x:c>
      <x:c r="N13" s="33" t="n">
        <x:f>SUM(B13:M13)</x:f>
        <x:v>16509.6</x:v>
      </x:c>
      <x:c r="O13" s="18" t="str">
        <x:v>Completion Rate</x:v>
      </x:c>
      <x:c r="P13" s="34" t="n">
        <x:f>INDEX(Assumptions!$J$6:$J$9,MATCH($P$5,Assumptions!$A$6:$A$9,0))</x:f>
        <x:v>0.58</x:v>
      </x:c>
    </x:row>
    <x:row r="14" ht="18" customHeight="1">
      <x:c r="A14" s="18" t="str">
        <x:v>Sponsor package revenue</x:v>
      </x:c>
      <x:c r="B14" s="33" t="n">
        <x:f>$P$20*$P$21*MIN(1,B6/25000)</x:f>
        <x:v>900</x:v>
      </x:c>
      <x:c r="C14" s="33" t="n">
        <x:f>$P$20*$P$21*MIN(1,C6/25000)</x:f>
        <x:v>1152</x:v>
      </x:c>
      <x:c r="D14" s="33" t="n">
        <x:f>$P$20*$P$21*MIN(1,D6/25000)</x:f>
        <x:v>1474.8000000000002</x:v>
      </x:c>
      <x:c r="E14" s="33" t="n">
        <x:f>$P$20*$P$21*MIN(1,E6/25000)</x:f>
        <x:v>1887.6000000000001</x:v>
      </x:c>
      <x:c r="F14" s="33" t="n">
        <x:f>$P$20*$P$21*MIN(1,F6/25000)</x:f>
        <x:v>2416.2</x:v>
      </x:c>
      <x:c r="G14" s="33" t="n">
        <x:f>$P$20*$P$21*MIN(1,G6/25000)</x:f>
        <x:v>3092.4</x:v>
      </x:c>
      <x:c r="H14" s="33" t="n">
        <x:f>$P$20*$P$21*MIN(1,H6/25000)</x:f>
        <x:v>3958.2000000000003</x:v>
      </x:c>
      <x:c r="I14" s="33" t="n">
        <x:f>$P$20*$P$21*MIN(1,I6/25000)</x:f>
        <x:v>5066.4</x:v>
      </x:c>
      <x:c r="J14" s="33" t="n">
        <x:f>$P$20*$P$21*MIN(1,J6/25000)</x:f>
        <x:v>6485.400000000001</x:v>
      </x:c>
      <x:c r="K14" s="33" t="n">
        <x:f>$P$20*$P$21*MIN(1,K6/25000)</x:f>
        <x:v>8301</x:v>
      </x:c>
      <x:c r="L14" s="33" t="n">
        <x:f>$P$20*$P$21*MIN(1,L6/25000)</x:f>
        <x:v>10625.4</x:v>
      </x:c>
      <x:c r="M14" s="33" t="n">
        <x:f>$P$20*$P$21*MIN(1,M6/25000)</x:f>
        <x:v>13600.2</x:v>
      </x:c>
      <x:c r="N14" s="33" t="n">
        <x:f>SUM(B14:M14)</x:f>
        <x:v>58959.600000000006</x:v>
      </x:c>
      <x:c r="O14" s="18" t="str">
        <x:v>Avg Sets / User / Day</x:v>
      </x:c>
      <x:c r="P14" s="34" t="n">
        <x:f>INDEX(Assumptions!$K$6:$K$9,MATCH($P$5,Assumptions!$A$6:$A$9,0))</x:f>
        <x:v>1.05</x:v>
      </x:c>
    </x:row>
    <x:row r="15" ht="18" customHeight="1">
      <x:c r="A15" s="18" t="str">
        <x:v>Total sponsor revenue</x:v>
      </x:c>
      <x:c r="B15" s="33" t="n">
        <x:f>SUM(B13:B14)</x:f>
        <x:v>1152</x:v>
      </x:c>
      <x:c r="C15" s="33" t="n">
        <x:f>SUM(C13:C14)</x:f>
        <x:v>1474.8</x:v>
      </x:c>
      <x:c r="D15" s="33" t="n">
        <x:f>SUM(D13:D14)</x:f>
        <x:v>1887.6000000000001</x:v>
      </x:c>
      <x:c r="E15" s="33" t="n">
        <x:f>SUM(E13:E14)</x:f>
        <x:v>2416.2000000000003</x:v>
      </x:c>
      <x:c r="F15" s="33" t="n">
        <x:f>SUM(F13:F14)</x:f>
        <x:v>3093</x:v>
      </x:c>
      <x:c r="G15" s="33" t="n">
        <x:f>SUM(G13:G14)</x:f>
        <x:v>3958.2000000000003</x:v>
      </x:c>
      <x:c r="H15" s="33" t="n">
        <x:f>SUM(H13:H14)</x:f>
        <x:v>5066.400000000001</x:v>
      </x:c>
      <x:c r="I15" s="33" t="n">
        <x:f>SUM(I13:I14)</x:f>
        <x:v>6484.799999999999</x:v>
      </x:c>
      <x:c r="J15" s="33" t="n">
        <x:f>SUM(J13:J14)</x:f>
        <x:v>8301.6</x:v>
      </x:c>
      <x:c r="K15" s="33" t="n">
        <x:f>SUM(K13:K14)</x:f>
        <x:v>10625.4</x:v>
      </x:c>
      <x:c r="L15" s="33" t="n">
        <x:f>SUM(L13:L14)</x:f>
        <x:v>13600.8</x:v>
      </x:c>
      <x:c r="M15" s="33" t="n">
        <x:f>SUM(M13:M14)</x:f>
        <x:v>17408.4</x:v>
      </x:c>
      <x:c r="N15" s="33" t="n">
        <x:f>SUM(B15:M15)</x:f>
        <x:v>75469.20000000001</x:v>
      </x:c>
      <x:c r="O15" s="18" t="str">
        <x:v>Payer Conversion</x:v>
      </x:c>
      <x:c r="P15" s="34" t="n">
        <x:f>INDEX(Assumptions!$L$6:$L$9,MATCH($P$5,Assumptions!$A$6:$A$9,0))</x:f>
        <x:v>0.012</x:v>
      </x:c>
    </x:row>
    <x:row r="16" ht="18" customHeight="1">
      <x:c r="A16" s="18" t="str">
        <x:v>Subscription gross</x:v>
      </x:c>
      <x:c r="B16" s="33" t="n">
        <x:f>B6*$P$15*$P$16</x:f>
        <x:v>143.82</x:v>
      </x:c>
      <x:c r="C16" s="33" t="n">
        <x:f>C6*$P$15*$P$16</x:f>
        <x:v>184.0896</x:v>
      </x:c>
      <x:c r="D16" s="33" t="n">
        <x:f>D6*$P$15*$P$16</x:f>
        <x:v>235.67304000000001</x:v>
      </x:c>
      <x:c r="E16" s="33" t="n">
        <x:f>E6*$P$15*$P$16</x:f>
        <x:v>301.63848</x:v>
      </x:c>
      <x:c r="F16" s="33" t="n">
        <x:f>F6*$P$15*$P$16</x:f>
        <x:v>386.10876</x:v>
      </x:c>
      <x:c r="G16" s="33" t="n">
        <x:f>G6*$P$15*$P$16</x:f>
        <x:v>494.16552</x:v>
      </x:c>
      <x:c r="H16" s="33" t="n">
        <x:f>H6*$P$15*$P$16</x:f>
        <x:v>632.52036</x:v>
      </x:c>
      <x:c r="I16" s="33" t="n">
        <x:f>I6*$P$15*$P$16</x:f>
        <x:v>809.61072</x:v>
      </x:c>
      <x:c r="J16" s="33" t="n">
        <x:f>J6*$P$15*$P$16</x:f>
        <x:v>1036.36692</x:v>
      </x:c>
      <x:c r="K16" s="33" t="n">
        <x:f>K6*$P$15*$P$16</x:f>
        <x:v>1326.4998</x:v>
      </x:c>
      <x:c r="L16" s="33" t="n">
        <x:f>L6*$P$15*$P$16</x:f>
        <x:v>1697.93892</x:v>
      </x:c>
      <x:c r="M16" s="33" t="n">
        <x:f>M6*$P$15*$P$16</x:f>
        <x:v>2173.31196</x:v>
      </x:c>
      <x:c r="N16" s="33" t="n">
        <x:f>SUM(B16:M16)</x:f>
        <x:v>9421.74408</x:v>
      </x:c>
      <x:c r="O16" s="18" t="str">
        <x:v>Monthly Sub Price</x:v>
      </x:c>
      <x:c r="P16" s="35" t="n">
        <x:f>INDEX(Assumptions!$M$6:$M$9,MATCH($P$5,Assumptions!$A$6:$A$9,0))</x:f>
        <x:v>7.99</x:v>
      </x:c>
    </x:row>
    <x:row r="17" ht="18" customHeight="1">
      <x:c r="A17" s="18" t="str">
        <x:v>XP shop / consumables gross</x:v>
      </x:c>
      <x:c r="B17" s="33" t="n">
        <x:f>B6*$P$17*$P$18</x:f>
        <x:v>24</x:v>
      </x:c>
      <x:c r="C17" s="33" t="n">
        <x:f>C6*$P$17*$P$18</x:f>
        <x:v>30.72</x:v>
      </x:c>
      <x:c r="D17" s="33" t="n">
        <x:f>D6*$P$17*$P$18</x:f>
        <x:v>39.328</x:v>
      </x:c>
      <x:c r="E17" s="33" t="n">
        <x:f>E6*$P$17*$P$18</x:f>
        <x:v>50.336</x:v>
      </x:c>
      <x:c r="F17" s="33" t="n">
        <x:f>F6*$P$17*$P$18</x:f>
        <x:v>64.432</x:v>
      </x:c>
      <x:c r="G17" s="33" t="n">
        <x:f>G6*$P$17*$P$18</x:f>
        <x:v>82.464</x:v>
      </x:c>
      <x:c r="H17" s="33" t="n">
        <x:f>H6*$P$17*$P$18</x:f>
        <x:v>105.552</x:v>
      </x:c>
      <x:c r="I17" s="33" t="n">
        <x:f>I6*$P$17*$P$18</x:f>
        <x:v>135.104</x:v>
      </x:c>
      <x:c r="J17" s="33" t="n">
        <x:f>J6*$P$17*$P$18</x:f>
        <x:v>172.94400000000002</x:v>
      </x:c>
      <x:c r="K17" s="33" t="n">
        <x:f>K6*$P$17*$P$18</x:f>
        <x:v>221.36</x:v>
      </x:c>
      <x:c r="L17" s="33" t="n">
        <x:f>L6*$P$17*$P$18</x:f>
        <x:v>283.344</x:v>
      </x:c>
      <x:c r="M17" s="33" t="n">
        <x:f>M6*$P$17*$P$18</x:f>
        <x:v>362.672</x:v>
      </x:c>
      <x:c r="N17" s="33" t="n">
        <x:f>SUM(B17:M17)</x:f>
        <x:v>1572.256</x:v>
      </x:c>
      <x:c r="O17" s="18" t="str">
        <x:v>XP Shop Attach</x:v>
      </x:c>
      <x:c r="P17" s="34" t="n">
        <x:f>INDEX(Assumptions!$N$6:$N$9,MATCH($P$5,Assumptions!$A$6:$A$9,0))</x:f>
        <x:v>0.004</x:v>
      </x:c>
    </x:row>
    <x:row r="18" ht="18" customHeight="1">
      <x:c r="A18" s="18" t="str">
        <x:v>Cash commitment gross</x:v>
      </x:c>
      <x:c r="B18" s="33" t="n">
        <x:f>B6*$P$33*$P$32</x:f>
        <x:v>0</x:v>
      </x:c>
      <x:c r="C18" s="33" t="n">
        <x:f>C6*$P$33*$P$32</x:f>
        <x:v>0</x:v>
      </x:c>
      <x:c r="D18" s="33" t="n">
        <x:f>D6*$P$33*$P$32</x:f>
        <x:v>0</x:v>
      </x:c>
      <x:c r="E18" s="33" t="n">
        <x:f>E6*$P$33*$P$32</x:f>
        <x:v>0</x:v>
      </x:c>
      <x:c r="F18" s="33" t="n">
        <x:f>F6*$P$33*$P$32</x:f>
        <x:v>0</x:v>
      </x:c>
      <x:c r="G18" s="33" t="n">
        <x:f>G6*$P$33*$P$32</x:f>
        <x:v>0</x:v>
      </x:c>
      <x:c r="H18" s="33" t="n">
        <x:f>H6*$P$33*$P$32</x:f>
        <x:v>0</x:v>
      </x:c>
      <x:c r="I18" s="33" t="n">
        <x:f>I6*$P$33*$P$32</x:f>
        <x:v>0</x:v>
      </x:c>
      <x:c r="J18" s="33" t="n">
        <x:f>J6*$P$33*$P$32</x:f>
        <x:v>0</x:v>
      </x:c>
      <x:c r="K18" s="33" t="n">
        <x:f>K6*$P$33*$P$32</x:f>
        <x:v>0</x:v>
      </x:c>
      <x:c r="L18" s="33" t="n">
        <x:f>L6*$P$33*$P$32</x:f>
        <x:v>0</x:v>
      </x:c>
      <x:c r="M18" s="33" t="n">
        <x:f>M6*$P$33*$P$32</x:f>
        <x:v>0</x:v>
      </x:c>
      <x:c r="N18" s="33" t="n">
        <x:f>SUM(B18:M18)</x:f>
        <x:v>0</x:v>
      </x:c>
      <x:c r="O18" s="18" t="str">
        <x:v>XP Shop ARPPU</x:v>
      </x:c>
      <x:c r="P18" s="35" t="n">
        <x:f>INDEX(Assumptions!$O$6:$O$9,MATCH($P$5,Assumptions!$A$6:$A$9,0))</x:f>
        <x:v>4</x:v>
      </x:c>
    </x:row>
    <x:row r="19" ht="18" customHeight="1">
      <x:c r="A19" s="18" t="str">
        <x:v>Total gross revenue</x:v>
      </x:c>
      <x:c r="B19" s="33" t="n">
        <x:f>SUM(B15:B18)</x:f>
        <x:v>1319.82</x:v>
      </x:c>
      <x:c r="C19" s="33" t="n">
        <x:f>SUM(C15:C18)</x:f>
        <x:v>1689.6096</x:v>
      </x:c>
      <x:c r="D19" s="33" t="n">
        <x:f>SUM(D15:D18)</x:f>
        <x:v>2162.60104</x:v>
      </x:c>
      <x:c r="E19" s="33" t="n">
        <x:f>SUM(E15:E18)</x:f>
        <x:v>2768.17448</x:v>
      </x:c>
      <x:c r="F19" s="33" t="n">
        <x:f>SUM(F15:F18)</x:f>
        <x:v>3543.54076</x:v>
      </x:c>
      <x:c r="G19" s="33" t="n">
        <x:f>SUM(G15:G18)</x:f>
        <x:v>4534.82952</x:v>
      </x:c>
      <x:c r="H19" s="33" t="n">
        <x:f>SUM(H15:H18)</x:f>
        <x:v>5804.47236</x:v>
      </x:c>
      <x:c r="I19" s="33" t="n">
        <x:f>SUM(I15:I18)</x:f>
        <x:v>7429.514719999999</x:v>
      </x:c>
      <x:c r="J19" s="33" t="n">
        <x:f>SUM(J15:J18)</x:f>
        <x:v>9510.91092</x:v>
      </x:c>
      <x:c r="K19" s="33" t="n">
        <x:f>SUM(K15:K18)</x:f>
        <x:v>12173.2598</x:v>
      </x:c>
      <x:c r="L19" s="33" t="n">
        <x:f>SUM(L15:L18)</x:f>
        <x:v>15582.082919999999</x:v>
      </x:c>
      <x:c r="M19" s="33" t="n">
        <x:f>SUM(M15:M18)</x:f>
        <x:v>19944.38396</x:v>
      </x:c>
      <x:c r="N19" s="33" t="n">
        <x:f>SUM(B19:M19)</x:f>
        <x:v>86463.20008000001</x:v>
      </x:c>
      <x:c r="O19" s="18" t="str">
        <x:v>Sponsor $ / Participant-Day</x:v>
      </x:c>
      <x:c r="P19" s="35" t="n">
        <x:f>INDEX(Assumptions!$P$6:$P$9,MATCH($P$5,Assumptions!$A$6:$A$9,0))</x:f>
        <x:v>0.02</x:v>
      </x:c>
    </x:row>
    <x:row r="20" ht="18" customHeight="1">
      <x:c r="A20" s="18" t="str">
        <x:v>App Store / platform fees</x:v>
      </x:c>
      <x:c r="B20" s="33" t="n">
        <x:f>(B16+B17)*$P$23</x:f>
        <x:v>25.173</x:v>
      </x:c>
      <x:c r="C20" s="33" t="n">
        <x:f>(C16+C17)*$P$23</x:f>
        <x:v>32.221439999999994</x:v>
      </x:c>
      <x:c r="D20" s="33" t="n">
        <x:f>(D16+D17)*$P$23</x:f>
        <x:v>41.250156</x:v>
      </x:c>
      <x:c r="E20" s="33" t="n">
        <x:f>(E16+E17)*$P$23</x:f>
        <x:v>52.796172000000006</x:v>
      </x:c>
      <x:c r="F20" s="33" t="n">
        <x:f>(F16+F17)*$P$23</x:f>
        <x:v>67.581114</x:v>
      </x:c>
      <x:c r="G20" s="33" t="n">
        <x:f>(G16+G17)*$P$23</x:f>
        <x:v>86.49442799999998</x:v>
      </x:c>
      <x:c r="H20" s="33" t="n">
        <x:f>(H16+H17)*$P$23</x:f>
        <x:v>110.710854</x:v>
      </x:c>
      <x:c r="I20" s="33" t="n">
        <x:f>(I16+I17)*$P$23</x:f>
        <x:v>141.707208</x:v>
      </x:c>
      <x:c r="J20" s="33" t="n">
        <x:f>(J16+J17)*$P$23</x:f>
        <x:v>181.39663799999997</x:v>
      </x:c>
      <x:c r="K20" s="33" t="n">
        <x:f>(K16+K17)*$P$23</x:f>
        <x:v>232.17897000000002</x:v>
      </x:c>
      <x:c r="L20" s="33" t="n">
        <x:f>(L16+L17)*$P$23</x:f>
        <x:v>297.192438</x:v>
      </x:c>
      <x:c r="M20" s="33" t="n">
        <x:f>(M16+M17)*$P$23</x:f>
        <x:v>380.39759399999997</x:v>
      </x:c>
      <x:c r="N20" s="33" t="n">
        <x:f>SUM(B20:M20)</x:f>
        <x:v>1649.1000119999999</x:v>
      </x:c>
      <x:c r="O20" s="18" t="str">
        <x:v>Active Sponsor Blocks</x:v>
      </x:c>
      <x:c r="P20" s="37" t="n">
        <x:f>INDEX(Assumptions!$Q$6:$Q$9,MATCH($P$5,Assumptions!$A$6:$A$9,0))</x:f>
        <x:v>3</x:v>
      </x:c>
    </x:row>
    <x:row r="21" ht="18" customHeight="1">
      <x:c r="A21" s="18" t="str">
        <x:v>Payment processing fees</x:v>
      </x:c>
      <x:c r="B21" s="33" t="n">
        <x:f>(B15+B18)*$P$24</x:f>
        <x:v>36.864000000000004</x:v>
      </x:c>
      <x:c r="C21" s="33" t="n">
        <x:f>(C15+C18)*$P$24</x:f>
        <x:v>47.193599999999996</x:v>
      </x:c>
      <x:c r="D21" s="33" t="n">
        <x:f>(D15+D18)*$P$24</x:f>
        <x:v>60.403200000000005</x:v>
      </x:c>
      <x:c r="E21" s="33" t="n">
        <x:f>(E15+E18)*$P$24</x:f>
        <x:v>77.31840000000001</x:v>
      </x:c>
      <x:c r="F21" s="33" t="n">
        <x:f>(F15+F18)*$P$24</x:f>
        <x:v>98.976</x:v>
      </x:c>
      <x:c r="G21" s="33" t="n">
        <x:f>(G15+G18)*$P$24</x:f>
        <x:v>126.6624</x:v>
      </x:c>
      <x:c r="H21" s="33" t="n">
        <x:f>(H15+H18)*$P$24</x:f>
        <x:v>162.12480000000002</x:v>
      </x:c>
      <x:c r="I21" s="33" t="n">
        <x:f>(I15+I18)*$P$24</x:f>
        <x:v>207.51359999999997</x:v>
      </x:c>
      <x:c r="J21" s="33" t="n">
        <x:f>(J15+J18)*$P$24</x:f>
        <x:v>265.6512</x:v>
      </x:c>
      <x:c r="K21" s="33" t="n">
        <x:f>(K15+K18)*$P$24</x:f>
        <x:v>340.01279999999997</x:v>
      </x:c>
      <x:c r="L21" s="33" t="n">
        <x:f>(L15+L18)*$P$24</x:f>
        <x:v>435.2256</x:v>
      </x:c>
      <x:c r="M21" s="33" t="n">
        <x:f>(M15+M18)*$P$24</x:f>
        <x:v>557.0688</x:v>
      </x:c>
      <x:c r="N21" s="33" t="n">
        <x:f>SUM(B21:M21)</x:f>
        <x:v>2415.0144</x:v>
      </x:c>
      <x:c r="O21" s="18" t="str">
        <x:v>Avg Monthly Sponsor Fee</x:v>
      </x:c>
      <x:c r="P21" s="33" t="n">
        <x:f>INDEX(Assumptions!$R$6:$R$9,MATCH($P$5,Assumptions!$A$6:$A$9,0))</x:f>
        <x:v>5000</x:v>
      </x:c>
    </x:row>
    <x:row r="22" ht="18" customHeight="1">
      <x:c r="A22" s="18" t="str">
        <x:v>Sponsor sales cost</x:v>
      </x:c>
      <x:c r="B22" s="33" t="n">
        <x:f>B15*$P$22</x:f>
        <x:v>115.2</x:v>
      </x:c>
      <x:c r="C22" s="33" t="n">
        <x:f>C15*$P$22</x:f>
        <x:v>147.48</x:v>
      </x:c>
      <x:c r="D22" s="33" t="n">
        <x:f>D15*$P$22</x:f>
        <x:v>188.76000000000002</x:v>
      </x:c>
      <x:c r="E22" s="33" t="n">
        <x:f>E15*$P$22</x:f>
        <x:v>241.62000000000003</x:v>
      </x:c>
      <x:c r="F22" s="33" t="n">
        <x:f>F15*$P$22</x:f>
        <x:v>309.3</x:v>
      </x:c>
      <x:c r="G22" s="33" t="n">
        <x:f>G15*$P$22</x:f>
        <x:v>395.82000000000005</x:v>
      </x:c>
      <x:c r="H22" s="33" t="n">
        <x:f>H15*$P$22</x:f>
        <x:v>506.6400000000001</x:v>
      </x:c>
      <x:c r="I22" s="33" t="n">
        <x:f>I15*$P$22</x:f>
        <x:v>648.48</x:v>
      </x:c>
      <x:c r="J22" s="33" t="n">
        <x:f>J15*$P$22</x:f>
        <x:v>830.1600000000001</x:v>
      </x:c>
      <x:c r="K22" s="33" t="n">
        <x:f>K15*$P$22</x:f>
        <x:v>1062.54</x:v>
      </x:c>
      <x:c r="L22" s="33" t="n">
        <x:f>L15*$P$22</x:f>
        <x:v>1360.08</x:v>
      </x:c>
      <x:c r="M22" s="33" t="n">
        <x:f>M15*$P$22</x:f>
        <x:v>1740.8400000000001</x:v>
      </x:c>
      <x:c r="N22" s="33" t="n">
        <x:f>SUM(B22:M22)</x:f>
        <x:v>7546.92</x:v>
      </x:c>
      <x:c r="O22" s="18" t="str">
        <x:v>Sponsor Sales Cost %</x:v>
      </x:c>
      <x:c r="P22" s="34" t="n">
        <x:f>INDEX(Assumptions!$S$6:$S$9,MATCH($P$5,Assumptions!$A$6:$A$9,0))</x:f>
        <x:v>0.1</x:v>
      </x:c>
    </x:row>
    <x:row r="23" ht="18" customHeight="1">
      <x:c r="A23" s="18" t="str">
        <x:v>Server / infra</x:v>
      </x:c>
      <x:c r="B23" s="33" t="n">
        <x:f>B6*$P$25</x:f>
        <x:v>52.50000000000001</x:v>
      </x:c>
      <x:c r="C23" s="33" t="n">
        <x:f>C6*$P$25</x:f>
        <x:v>67.2</x:v>
      </x:c>
      <x:c r="D23" s="33" t="n">
        <x:f>D6*$P$25</x:f>
        <x:v>86.03</x:v>
      </x:c>
      <x:c r="E23" s="33" t="n">
        <x:f>E6*$P$25</x:f>
        <x:v>110.11000000000001</x:v>
      </x:c>
      <x:c r="F23" s="33" t="n">
        <x:f>F6*$P$25</x:f>
        <x:v>140.94500000000002</x:v>
      </x:c>
      <x:c r="G23" s="33" t="n">
        <x:f>G6*$P$25</x:f>
        <x:v>180.39000000000001</x:v>
      </x:c>
      <x:c r="H23" s="33" t="n">
        <x:f>H6*$P$25</x:f>
        <x:v>230.895</x:v>
      </x:c>
      <x:c r="I23" s="33" t="n">
        <x:f>I6*$P$25</x:f>
        <x:v>295.54</x:v>
      </x:c>
      <x:c r="J23" s="33" t="n">
        <x:f>J6*$P$25</x:f>
        <x:v>378.31500000000005</x:v>
      </x:c>
      <x:c r="K23" s="33" t="n">
        <x:f>K6*$P$25</x:f>
        <x:v>484.225</x:v>
      </x:c>
      <x:c r="L23" s="33" t="n">
        <x:f>L6*$P$25</x:f>
        <x:v>619.815</x:v>
      </x:c>
      <x:c r="M23" s="33" t="n">
        <x:f>M6*$P$25</x:f>
        <x:v>793.345</x:v>
      </x:c>
      <x:c r="N23" s="33" t="n">
        <x:f>SUM(B23:M23)</x:f>
        <x:v>3439.3100000000004</x:v>
      </x:c>
      <x:c r="O23" s="18" t="str">
        <x:v>App Store Fee %</x:v>
      </x:c>
      <x:c r="P23" s="34" t="n">
        <x:f>INDEX(Assumptions!$T$6:$T$9,MATCH($P$5,Assumptions!$A$6:$A$9,0))</x:f>
        <x:v>0.15</x:v>
      </x:c>
    </x:row>
    <x:row r="24" ht="18" customHeight="1">
      <x:c r="A24" s="18" t="str">
        <x:v>Support / moderation</x:v>
      </x:c>
      <x:c r="B24" s="33" t="n">
        <x:f>B6*$P$26</x:f>
        <x:v>45</x:v>
      </x:c>
      <x:c r="C24" s="33" t="n">
        <x:f>C6*$P$26</x:f>
        <x:v>57.599999999999994</x:v>
      </x:c>
      <x:c r="D24" s="33" t="n">
        <x:f>D6*$P$26</x:f>
        <x:v>73.74</x:v>
      </x:c>
      <x:c r="E24" s="33" t="n">
        <x:f>E6*$P$26</x:f>
        <x:v>94.38</x:v>
      </x:c>
      <x:c r="F24" s="33" t="n">
        <x:f>F6*$P$26</x:f>
        <x:v>120.81</x:v>
      </x:c>
      <x:c r="G24" s="33" t="n">
        <x:f>G6*$P$26</x:f>
        <x:v>154.62</x:v>
      </x:c>
      <x:c r="H24" s="33" t="n">
        <x:f>H6*$P$26</x:f>
        <x:v>197.91</x:v>
      </x:c>
      <x:c r="I24" s="33" t="n">
        <x:f>I6*$P$26</x:f>
        <x:v>253.32</x:v>
      </x:c>
      <x:c r="J24" s="33" t="n">
        <x:f>J6*$P$26</x:f>
        <x:v>324.27</x:v>
      </x:c>
      <x:c r="K24" s="33" t="n">
        <x:f>K6*$P$26</x:f>
        <x:v>415.05</x:v>
      </x:c>
      <x:c r="L24" s="33" t="n">
        <x:f>L6*$P$26</x:f>
        <x:v>531.27</x:v>
      </x:c>
      <x:c r="M24" s="33" t="n">
        <x:f>M6*$P$26</x:f>
        <x:v>680.01</x:v>
      </x:c>
      <x:c r="N24" s="33" t="n">
        <x:f>SUM(B24:M24)</x:f>
        <x:v>2947.9799999999996</x:v>
      </x:c>
      <x:c r="O24" s="18" t="str">
        <x:v>Payment Fee %</x:v>
      </x:c>
      <x:c r="P24" s="34" t="n">
        <x:f>INDEX(Assumptions!$U$6:$U$9,MATCH($P$5,Assumptions!$A$6:$A$9,0))</x:f>
        <x:v>0.032</x:v>
      </x:c>
    </x:row>
    <x:row r="25" ht="18" customHeight="1">
      <x:c r="A25" s="18" t="str">
        <x:v>Paid UA spend</x:v>
      </x:c>
      <x:c r="B25" s="33" t="n">
        <x:f>B9</x:f>
        <x:v>7272</x:v>
      </x:c>
      <x:c r="C25" s="33" t="n">
        <x:f>C9</x:f>
        <x:v>8144</x:v>
      </x:c>
      <x:c r="D25" s="33" t="n">
        <x:f>D9</x:f>
        <x:v>10428</x:v>
      </x:c>
      <x:c r="E25" s="33" t="n">
        <x:f>E9</x:f>
        <x:v>13348</x:v>
      </x:c>
      <x:c r="F25" s="33" t="n">
        <x:f>F9</x:f>
        <x:v>17084</x:v>
      </x:c>
      <x:c r="G25" s="33" t="n">
        <x:f>G9</x:f>
        <x:v>21864</x:v>
      </x:c>
      <x:c r="H25" s="33" t="n">
        <x:f>H9</x:f>
        <x:v>27988</x:v>
      </x:c>
      <x:c r="I25" s="33" t="n">
        <x:f>I9</x:f>
        <x:v>35824</x:v>
      </x:c>
      <x:c r="J25" s="33" t="n">
        <x:f>J9</x:f>
        <x:v>45856</x:v>
      </x:c>
      <x:c r="K25" s="33" t="n">
        <x:f>K9</x:f>
        <x:v>58692</x:v>
      </x:c>
      <x:c r="L25" s="33" t="n">
        <x:f>L9</x:f>
        <x:v>75128</x:v>
      </x:c>
      <x:c r="M25" s="33" t="n">
        <x:f>M9</x:f>
        <x:v>96164</x:v>
      </x:c>
      <x:c r="N25" s="33" t="n">
        <x:f>SUM(B25:M25)</x:f>
        <x:v>417792</x:v>
      </x:c>
      <x:c r="O25" s="18" t="str">
        <x:v>Server Cost / MAU</x:v>
      </x:c>
      <x:c r="P25" s="38" t="n">
        <x:f>INDEX(Assumptions!$V$6:$V$9,MATCH($P$5,Assumptions!$A$6:$A$9,0))</x:f>
        <x:v>0.035</x:v>
      </x:c>
    </x:row>
    <x:row r="26" ht="18" customHeight="1">
      <x:c r="A26" s="18" t="str">
        <x:v>Fixed ops / tools</x:v>
      </x:c>
      <x:c r="B26" s="33" t="n">
        <x:f>$P$28</x:f>
        <x:v>6000</x:v>
      </x:c>
      <x:c r="C26" s="33" t="n">
        <x:f>$P$28</x:f>
        <x:v>6000</x:v>
      </x:c>
      <x:c r="D26" s="33" t="n">
        <x:f>$P$28</x:f>
        <x:v>6000</x:v>
      </x:c>
      <x:c r="E26" s="33" t="n">
        <x:f>$P$28</x:f>
        <x:v>6000</x:v>
      </x:c>
      <x:c r="F26" s="33" t="n">
        <x:f>$P$28</x:f>
        <x:v>6000</x:v>
      </x:c>
      <x:c r="G26" s="33" t="n">
        <x:f>$P$28</x:f>
        <x:v>6000</x:v>
      </x:c>
      <x:c r="H26" s="33" t="n">
        <x:f>$P$28</x:f>
        <x:v>6000</x:v>
      </x:c>
      <x:c r="I26" s="33" t="n">
        <x:f>$P$28</x:f>
        <x:v>6000</x:v>
      </x:c>
      <x:c r="J26" s="33" t="n">
        <x:f>$P$28</x:f>
        <x:v>6000</x:v>
      </x:c>
      <x:c r="K26" s="33" t="n">
        <x:f>$P$28</x:f>
        <x:v>6000</x:v>
      </x:c>
      <x:c r="L26" s="33" t="n">
        <x:f>$P$28</x:f>
        <x:v>6000</x:v>
      </x:c>
      <x:c r="M26" s="33" t="n">
        <x:f>$P$28</x:f>
        <x:v>6000</x:v>
      </x:c>
      <x:c r="N26" s="33" t="n">
        <x:f>SUM(B26:M26)</x:f>
        <x:v>72000</x:v>
      </x:c>
      <x:c r="O26" s="18" t="str">
        <x:v>Support Cost / MAU</x:v>
      </x:c>
      <x:c r="P26" s="38" t="n">
        <x:f>INDEX(Assumptions!$W$6:$W$9,MATCH($P$5,Assumptions!$A$6:$A$9,0))</x:f>
        <x:v>0.03</x:v>
      </x:c>
    </x:row>
    <x:row r="27" ht="18" customHeight="1">
      <x:c r="A27" s="18" t="str">
        <x:v>Creator / UGC budget</x:v>
      </x:c>
      <x:c r="B27" s="33" t="n">
        <x:f>$P$29</x:f>
        <x:v>8000</x:v>
      </x:c>
      <x:c r="C27" s="33" t="n">
        <x:f>$P$29</x:f>
        <x:v>8000</x:v>
      </x:c>
      <x:c r="D27" s="33" t="n">
        <x:f>$P$29</x:f>
        <x:v>8000</x:v>
      </x:c>
      <x:c r="E27" s="33" t="n">
        <x:f>$P$29</x:f>
        <x:v>8000</x:v>
      </x:c>
      <x:c r="F27" s="33" t="n">
        <x:f>$P$29</x:f>
        <x:v>8000</x:v>
      </x:c>
      <x:c r="G27" s="33" t="n">
        <x:f>$P$29</x:f>
        <x:v>8000</x:v>
      </x:c>
      <x:c r="H27" s="33" t="n">
        <x:f>$P$29</x:f>
        <x:v>8000</x:v>
      </x:c>
      <x:c r="I27" s="33" t="n">
        <x:f>$P$29</x:f>
        <x:v>8000</x:v>
      </x:c>
      <x:c r="J27" s="33" t="n">
        <x:f>$P$29</x:f>
        <x:v>8000</x:v>
      </x:c>
      <x:c r="K27" s="33" t="n">
        <x:f>$P$29</x:f>
        <x:v>8000</x:v>
      </x:c>
      <x:c r="L27" s="33" t="n">
        <x:f>$P$29</x:f>
        <x:v>8000</x:v>
      </x:c>
      <x:c r="M27" s="33" t="n">
        <x:f>$P$29</x:f>
        <x:v>8000</x:v>
      </x:c>
      <x:c r="N27" s="33" t="n">
        <x:f>SUM(B27:M27)</x:f>
        <x:v>96000</x:v>
      </x:c>
      <x:c r="O27" s="18" t="str">
        <x:v>Month 1 Retention</x:v>
      </x:c>
      <x:c r="P27" s="34" t="n">
        <x:f>INDEX(Assumptions!$X$6:$X$9,MATCH($P$5,Assumptions!$A$6:$A$9,0))</x:f>
        <x:v>0.16</x:v>
      </x:c>
    </x:row>
    <x:row r="28" ht="18" customHeight="1">
      <x:c r="A28" s="18" t="str">
        <x:v>Legal / admin</x:v>
      </x:c>
      <x:c r="B28" s="33" t="n">
        <x:f>$P$30</x:f>
        <x:v>2500</x:v>
      </x:c>
      <x:c r="C28" s="33" t="n">
        <x:f>$P$30</x:f>
        <x:v>2500</x:v>
      </x:c>
      <x:c r="D28" s="33" t="n">
        <x:f>$P$30</x:f>
        <x:v>2500</x:v>
      </x:c>
      <x:c r="E28" s="33" t="n">
        <x:f>$P$30</x:f>
        <x:v>2500</x:v>
      </x:c>
      <x:c r="F28" s="33" t="n">
        <x:f>$P$30</x:f>
        <x:v>2500</x:v>
      </x:c>
      <x:c r="G28" s="33" t="n">
        <x:f>$P$30</x:f>
        <x:v>2500</x:v>
      </x:c>
      <x:c r="H28" s="33" t="n">
        <x:f>$P$30</x:f>
        <x:v>2500</x:v>
      </x:c>
      <x:c r="I28" s="33" t="n">
        <x:f>$P$30</x:f>
        <x:v>2500</x:v>
      </x:c>
      <x:c r="J28" s="33" t="n">
        <x:f>$P$30</x:f>
        <x:v>2500</x:v>
      </x:c>
      <x:c r="K28" s="33" t="n">
        <x:f>$P$30</x:f>
        <x:v>2500</x:v>
      </x:c>
      <x:c r="L28" s="33" t="n">
        <x:f>$P$30</x:f>
        <x:v>2500</x:v>
      </x:c>
      <x:c r="M28" s="33" t="n">
        <x:f>$P$30</x:f>
        <x:v>2500</x:v>
      </x:c>
      <x:c r="N28" s="33" t="n">
        <x:f>SUM(B28:M28)</x:f>
        <x:v>30000</x:v>
      </x:c>
      <x:c r="O28" s="18" t="str">
        <x:v>Fixed Ops / Month</x:v>
      </x:c>
      <x:c r="P28" s="33" t="n">
        <x:f>INDEX(Assumptions!$Y$6:$Y$9,MATCH($P$5,Assumptions!$A$6:$A$9,0))</x:f>
        <x:v>6000</x:v>
      </x:c>
    </x:row>
    <x:row r="29" ht="18" customHeight="1">
      <x:c r="A29" s="18" t="str">
        <x:v>Founder draw</x:v>
      </x:c>
      <x:c r="B29" s="33" t="n">
        <x:f>$P$31</x:f>
        <x:v>0</x:v>
      </x:c>
      <x:c r="C29" s="33" t="n">
        <x:f>$P$31</x:f>
        <x:v>0</x:v>
      </x:c>
      <x:c r="D29" s="33" t="n">
        <x:f>$P$31</x:f>
        <x:v>0</x:v>
      </x:c>
      <x:c r="E29" s="33" t="n">
        <x:f>$P$31</x:f>
        <x:v>0</x:v>
      </x:c>
      <x:c r="F29" s="33" t="n">
        <x:f>$P$31</x:f>
        <x:v>0</x:v>
      </x:c>
      <x:c r="G29" s="33" t="n">
        <x:f>$P$31</x:f>
        <x:v>0</x:v>
      </x:c>
      <x:c r="H29" s="33" t="n">
        <x:f>$P$31</x:f>
        <x:v>0</x:v>
      </x:c>
      <x:c r="I29" s="33" t="n">
        <x:f>$P$31</x:f>
        <x:v>0</x:v>
      </x:c>
      <x:c r="J29" s="33" t="n">
        <x:f>$P$31</x:f>
        <x:v>0</x:v>
      </x:c>
      <x:c r="K29" s="33" t="n">
        <x:f>$P$31</x:f>
        <x:v>0</x:v>
      </x:c>
      <x:c r="L29" s="33" t="n">
        <x:f>$P$31</x:f>
        <x:v>0</x:v>
      </x:c>
      <x:c r="M29" s="33" t="n">
        <x:f>$P$31</x:f>
        <x:v>0</x:v>
      </x:c>
      <x:c r="N29" s="33" t="n">
        <x:f>SUM(B29:M29)</x:f>
        <x:v>0</x:v>
      </x:c>
      <x:c r="O29" s="18" t="str">
        <x:v>Creator / UGC / Month</x:v>
      </x:c>
      <x:c r="P29" s="33" t="n">
        <x:f>INDEX(Assumptions!$Z$6:$Z$9,MATCH($P$5,Assumptions!$A$6:$A$9,0))</x:f>
        <x:v>8000</x:v>
      </x:c>
    </x:row>
    <x:row r="30" ht="18" customHeight="1">
      <x:c r="A30" s="18" t="str">
        <x:v>Total operating costs</x:v>
      </x:c>
      <x:c r="B30" s="33" t="n">
        <x:f>SUM(B20:B29)</x:f>
        <x:v>24046.737</x:v>
      </x:c>
      <x:c r="C30" s="33" t="n">
        <x:f>SUM(C20:C29)</x:f>
        <x:v>24995.69504</x:v>
      </x:c>
      <x:c r="D30" s="33" t="n">
        <x:f>SUM(D20:D29)</x:f>
        <x:v>27378.183356</x:v>
      </x:c>
      <x:c r="E30" s="33" t="n">
        <x:f>SUM(E20:E29)</x:f>
        <x:v>30424.224572</x:v>
      </x:c>
      <x:c r="F30" s="33" t="n">
        <x:f>SUM(F20:F29)</x:f>
        <x:v>34321.612114</x:v>
      </x:c>
      <x:c r="G30" s="33" t="n">
        <x:f>SUM(G20:G29)</x:f>
        <x:v>39307.986828</x:v>
      </x:c>
      <x:c r="H30" s="33" t="n">
        <x:f>SUM(H20:H29)</x:f>
        <x:v>45696.280654</x:v>
      </x:c>
      <x:c r="I30" s="33" t="n">
        <x:f>SUM(I20:I29)</x:f>
        <x:v>53870.560808</x:v>
      </x:c>
      <x:c r="J30" s="33" t="n">
        <x:f>SUM(J20:J29)</x:f>
        <x:v>64335.792838</x:v>
      </x:c>
      <x:c r="K30" s="33" t="n">
        <x:f>SUM(K20:K29)</x:f>
        <x:v>77726.00677</x:v>
      </x:c>
      <x:c r="L30" s="33" t="n">
        <x:f>SUM(L20:L29)</x:f>
        <x:v>94871.583038</x:v>
      </x:c>
      <x:c r="M30" s="33" t="n">
        <x:f>SUM(M20:M29)</x:f>
        <x:v>116815.661394</x:v>
      </x:c>
      <x:c r="N30" s="33" t="n">
        <x:f>SUM(B30:M30)</x:f>
        <x:v>633790.324412</x:v>
      </x:c>
      <x:c r="O30" s="18" t="str">
        <x:v>Legal / Admin / Month</x:v>
      </x:c>
      <x:c r="P30" s="33" t="n">
        <x:f>INDEX(Assumptions!$AA$6:$AA$9,MATCH($P$5,Assumptions!$A$6:$A$9,0))</x:f>
        <x:v>2500</x:v>
      </x:c>
    </x:row>
    <x:row r="31" ht="18" customHeight="1">
      <x:c r="A31" s="18" t="str">
        <x:v>Net operating income</x:v>
      </x:c>
      <x:c r="B31" s="33" t="n">
        <x:f>B19-B30</x:f>
        <x:v>-22726.917</x:v>
      </x:c>
      <x:c r="C31" s="33" t="n">
        <x:f>C19-C30</x:f>
        <x:v>-23306.08544</x:v>
      </x:c>
      <x:c r="D31" s="33" t="n">
        <x:f>D19-D30</x:f>
        <x:v>-25215.582316</x:v>
      </x:c>
      <x:c r="E31" s="33" t="n">
        <x:f>E19-E30</x:f>
        <x:v>-27656.050091999998</x:v>
      </x:c>
      <x:c r="F31" s="33" t="n">
        <x:f>F19-F30</x:f>
        <x:v>-30778.071354000003</x:v>
      </x:c>
      <x:c r="G31" s="33" t="n">
        <x:f>G19-G30</x:f>
        <x:v>-34773.157308</x:v>
      </x:c>
      <x:c r="H31" s="33" t="n">
        <x:f>H19-H30</x:f>
        <x:v>-39891.808294</x:v>
      </x:c>
      <x:c r="I31" s="33" t="n">
        <x:f>I19-I30</x:f>
        <x:v>-46441.046088</x:v>
      </x:c>
      <x:c r="J31" s="33" t="n">
        <x:f>J19-J30</x:f>
        <x:v>-54824.881918</x:v>
      </x:c>
      <x:c r="K31" s="33" t="n">
        <x:f>K19-K30</x:f>
        <x:v>-65552.74697000001</x:v>
      </x:c>
      <x:c r="L31" s="33" t="n">
        <x:f>L19-L30</x:f>
        <x:v>-79289.500118</x:v>
      </x:c>
      <x:c r="M31" s="33" t="n">
        <x:f>M19-M30</x:f>
        <x:v>-96871.27743399999</x:v>
      </x:c>
      <x:c r="N31" s="33" t="n">
        <x:f>SUM(B31:M31)</x:f>
        <x:v>-547327.124332</x:v>
      </x:c>
      <x:c r="O31" s="18" t="str">
        <x:v>Founder Draw / Month</x:v>
      </x:c>
      <x:c r="P31" s="33" t="n">
        <x:f>INDEX(Assumptions!$AB$6:$AB$9,MATCH($P$5,Assumptions!$A$6:$A$9,0))</x:f>
        <x:v>0</x:v>
      </x:c>
    </x:row>
    <x:row r="32" ht="18" customHeight="1">
      <x:c r="A32" s="18" t="str">
        <x:v>Operating margin</x:v>
      </x:c>
      <x:c r="B32" s="34" t="n">
        <x:f>IFERROR(B31/B19,0)</x:f>
        <x:v>-17.219709505841706</x:v>
      </x:c>
      <x:c r="C32" s="34" t="n">
        <x:f>IFERROR(C31/C19,0)</x:f>
        <x:v>-13.793769542976081</x:v>
      </x:c>
      <x:c r="D32" s="34" t="n">
        <x:f>IFERROR(D31/D19,0)</x:f>
        <x:v>-11.659840095147647</x:v>
      </x:c>
      <x:c r="E32" s="34" t="n">
        <x:f>IFERROR(E31/E19,0)</x:f>
        <x:v>-9.990717814868374</x:v>
      </x:c>
      <x:c r="F32" s="34" t="n">
        <x:f>IFERROR(F31/F19,0)</x:f>
        <x:v>-8.685682891368803</x:v>
      </x:c>
      <x:c r="G32" s="34" t="n">
        <x:f>IFERROR(G31/G19,0)</x:f>
        <x:v>-7.668018644281913</x:v>
      </x:c>
      <x:c r="H32" s="34" t="n">
        <x:f>IFERROR(H31/H19,0)</x:f>
        <x:v>-6.872598544684948</x:v>
      </x:c>
      <x:c r="I32" s="34" t="n">
        <x:f>IFERROR(I31/I19,0)</x:f>
        <x:v>-6.250885534015068</x:v>
      </x:c>
      <x:c r="J32" s="34" t="n">
        <x:f>IFERROR(J31/J19,0)</x:f>
        <x:v>-5.764419662759285</x:v>
      </x:c>
      <x:c r="K32" s="34" t="n">
        <x:f>IFERROR(K31/K19,0)</x:f>
        <x:v>-5.3849788837990635</x:v>
      </x:c>
      <x:c r="L32" s="34" t="n">
        <x:f>IFERROR(L31/L19,0)</x:f>
        <x:v>-5.088504568040125</x:v>
      </x:c>
      <x:c r="M32" s="34" t="n">
        <x:f>IFERROR(M31/M19,0)</x:f>
        <x:v>-4.85707042284599</x:v>
      </x:c>
      <x:c r="N32" s="34" t="n">
        <x:f>IFERROR(N31/N19,0)</x:f>
        <x:v>-6.330174268655174</x:v>
      </x:c>
      <x:c r="O32" s="18" t="str">
        <x:v>Cash Commitment Fee</x:v>
      </x:c>
      <x:c r="P32" s="33" t="n">
        <x:f>INDEX(Assumptions!$AC$6:$AC$9,MATCH($P$5,Assumptions!$A$6:$A$9,0))</x:f>
        <x:v>0</x:v>
      </x:c>
    </x:row>
    <x:row r="33" ht="18" customHeight="1">
      <x:c r="A33" s="18" t="str">
        <x:v>ARPMAU</x:v>
      </x:c>
      <x:c r="B33" s="35" t="n">
        <x:f>IFERROR(B19/B6,0)</x:f>
        <x:v>0.87988</x:v>
      </x:c>
      <x:c r="C33" s="35" t="n">
        <x:f>IFERROR(C19/C6,0)</x:f>
        <x:v>0.880005</x:v>
      </x:c>
      <x:c r="D33" s="35" t="n">
        <x:f>IFERROR(D19/D6,0)</x:f>
        <x:v>0.8798214157851912</x:v>
      </x:c>
      <x:c r="E33" s="35" t="n">
        <x:f>IFERROR(E19/E6,0)</x:f>
        <x:v>0.8799028862047045</x:v>
      </x:c>
      <x:c r="F33" s="35" t="n">
        <x:f>IFERROR(F19/F6,0)</x:f>
        <x:v>0.879945557486963</x:v>
      </x:c>
      <x:c r="G33" s="35" t="n">
        <x:f>IFERROR(G19/G6,0)</x:f>
        <x:v>0.8798660302677532</x:v>
      </x:c>
      <x:c r="H33" s="35" t="n">
        <x:f>IFERROR(H19/H6,0)</x:f>
        <x:v>0.8798654479308776</x:v>
      </x:c>
      <x:c r="I33" s="35" t="n">
        <x:f>IFERROR(I19/I6,0)</x:f>
        <x:v>0.8798572619611558</x:v>
      </x:c>
      <x:c r="J33" s="35" t="n">
        <x:f>IFERROR(J19/J6,0)</x:f>
        <x:v>0.8799066444629475</x:v>
      </x:c>
      <x:c r="K33" s="35" t="n">
        <x:f>IFERROR(K19/K6,0)</x:f>
        <x:v>0.8798886736537767</x:v>
      </x:c>
      <x:c r="L33" s="35" t="n">
        <x:f>IFERROR(L19/L6,0)</x:f>
        <x:v>0.8798962629171607</x:v>
      </x:c>
      <x:c r="M33" s="35" t="n">
        <x:f>IFERROR(M19/M6,0)</x:f>
        <x:v>0.8798863528477522</x:v>
      </x:c>
      <x:c r="N33" s="35" t="n">
        <x:f>IFERROR(N19/12/N6,0)</x:f>
        <x:v>0.31787473743033196</x:v>
      </x:c>
      <x:c r="O33" s="18" t="str">
        <x:v>Commitment Take Rate</x:v>
      </x:c>
      <x:c r="P33" s="34" t="n">
        <x:f>INDEX(Assumptions!$AD$6:$AD$9,MATCH($P$5,Assumptions!$A$6:$A$9,0))</x:f>
        <x:v>0</x:v>
      </x:c>
    </x:row>
    <x:row r="34" ht="18" customHeight="1">
      <x:c r="A34" s="18" t="str">
        <x:v>Gross margin before UA</x:v>
      </x:c>
      <x:c r="B34" s="34" t="n">
        <x:f>IFERROR((B19-SUM(B20:B24))/B19,0)</x:f>
        <x:v>0.7918375232986316</x:v>
      </x:c>
      <x:c r="C34" s="34" t="n">
        <x:f>IFERROR((C19-SUM(C20:C24))/C19,0)</x:f>
        <x:v>0.7918483417707854</x:v>
      </x:c>
      <x:c r="D34" s="34" t="n">
        <x:f>IFERROR((D19-SUM(D20:D24))/D19,0)</x:f>
        <x:v>0.7918324519070794</x:v>
      </x:c>
      <x:c r="E34" s="34" t="n">
        <x:f>IFERROR((E19-SUM(E20:E24))/E19,0)</x:f>
        <x:v>0.7918395042786465</x:v>
      </x:c>
      <x:c r="F34" s="34" t="n">
        <x:f>IFERROR((F19-SUM(F20:F24))/F19,0)</x:f>
        <x:v>0.7918431975366921</x:v>
      </x:c>
      <x:c r="G34" s="34" t="n">
        <x:f>IFERROR((G19-SUM(G20:G24))/G19,0)</x:f>
        <x:v>0.7918363140583948</x:v>
      </x:c>
      <x:c r="H34" s="34" t="n">
        <x:f>IFERROR((H19-SUM(H20:H24))/H19,0)</x:f>
        <x:v>0.7918362636496385</x:v>
      </x:c>
      <x:c r="I34" s="34" t="n">
        <x:f>IFERROR((I19-SUM(I20:I24))/I19,0)</x:f>
        <x:v>0.7918355550414737</x:v>
      </x:c>
      <x:c r="J34" s="34" t="n">
        <x:f>IFERROR((J19-SUM(J20:J24))/J19,0)</x:f>
        <x:v>0.7918398295754409</x:v>
      </x:c>
      <x:c r="K34" s="34" t="n">
        <x:f>IFERROR((K19-SUM(K20:K24))/K19,0)</x:f>
        <x:v>0.7918382740833314</x:v>
      </x:c>
      <x:c r="L34" s="34" t="n">
        <x:f>IFERROR((L19-SUM(L20:L24))/L19,0)</x:f>
        <x:v>0.7918389309919037</x:v>
      </x:c>
      <x:c r="M34" s="34" t="n">
        <x:f>IFERROR((M19-SUM(M20:M24))/M19,0)</x:f>
        <x:v>0.791838073197624</x:v>
      </x:c>
      <x:c r="N34" s="34" t="n">
        <x:f>IFERROR((N19-SUM(N20:N24))/N19,0)</x:f>
        <x:v>0.7918383266482496</x:v>
      </x:c>
      <x:c r="O34" s="18" t="str">
        <x:v>Referral K Factor</x:v>
      </x:c>
      <x:c r="P34" s="34" t="n">
        <x:f>INDEX(Assumptions!$AE$6:$AE$9,MATCH($P$5,Assumptions!$A$6:$A$9,0))</x:f>
        <x:v>0.08</x:v>
      </x:c>
    </x:row>
    <x:row r="35" ht="18" customHeight="1">
      <x:c r="A35" s="18" t="str">
        <x:v>Referral multiplier</x:v>
      </x:c>
      <x:c r="B35" s="36" t="n">
        <x:f>IFERROR(1/(1-$P$34),1)</x:f>
        <x:v>1.0869565217391304</x:v>
      </x:c>
      <x:c r="C35" s="36" t="n">
        <x:f>IFERROR(1/(1-$P$34),1)</x:f>
        <x:v>1.0869565217391304</x:v>
      </x:c>
      <x:c r="D35" s="36" t="n">
        <x:f>IFERROR(1/(1-$P$34),1)</x:f>
        <x:v>1.0869565217391304</x:v>
      </x:c>
      <x:c r="E35" s="36" t="n">
        <x:f>IFERROR(1/(1-$P$34),1)</x:f>
        <x:v>1.0869565217391304</x:v>
      </x:c>
      <x:c r="F35" s="36" t="n">
        <x:f>IFERROR(1/(1-$P$34),1)</x:f>
        <x:v>1.0869565217391304</x:v>
      </x:c>
      <x:c r="G35" s="36" t="n">
        <x:f>IFERROR(1/(1-$P$34),1)</x:f>
        <x:v>1.0869565217391304</x:v>
      </x:c>
      <x:c r="H35" s="36" t="n">
        <x:f>IFERROR(1/(1-$P$34),1)</x:f>
        <x:v>1.0869565217391304</x:v>
      </x:c>
      <x:c r="I35" s="36" t="n">
        <x:f>IFERROR(1/(1-$P$34),1)</x:f>
        <x:v>1.0869565217391304</x:v>
      </x:c>
      <x:c r="J35" s="36" t="n">
        <x:f>IFERROR(1/(1-$P$34),1)</x:f>
        <x:v>1.0869565217391304</x:v>
      </x:c>
      <x:c r="K35" s="36" t="n">
        <x:f>IFERROR(1/(1-$P$34),1)</x:f>
        <x:v>1.0869565217391304</x:v>
      </x:c>
      <x:c r="L35" s="36" t="n">
        <x:f>IFERROR(1/(1-$P$34),1)</x:f>
        <x:v>1.0869565217391304</x:v>
      </x:c>
      <x:c r="M35" s="36" t="n">
        <x:f>IFERROR(1/(1-$P$34),1)</x:f>
        <x:v>1.0869565217391304</x:v>
      </x:c>
      <x:c r="N35" s="36" t="n">
        <x:f>M35</x:f>
        <x:v>1.0869565217391304</x:v>
      </x:c>
      <x:c r="O35" s="18" t="str">
        <x:v>FX KRW / USD</x:v>
      </x:c>
      <x:c r="P35" s="39" t="n">
        <x:f>INDEX(Assumptions!$AF$6:$AF$9,MATCH($P$5,Assumptions!$A$6:$A$9,0))</x:f>
        <x:v>1476.47</x:v>
      </x:c>
    </x:row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N1"/>
    <x:mergeCell ref="A2:N2"/>
  </x:mergeCells>
  <x:conditionalFormatting sqref="B32:N3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1.170000076293945" hidden="0" customWidth="1"/>
    <x:col min="3" max="3" width="11.170000076293945" hidden="0" customWidth="1"/>
    <x:col min="4" max="4" width="11.170000076293945" hidden="0" customWidth="1"/>
    <x:col min="5" max="5" width="11.170000076293945" hidden="0" customWidth="1"/>
    <x:col min="6" max="6" width="11.170000076293945" hidden="0" customWidth="1"/>
    <x:col min="7" max="7" width="11.170000076293945" hidden="0" customWidth="1"/>
    <x:col min="8" max="8" width="18.399999618530273" hidden="0" customWidth="1"/>
    <x:col min="9" max="9" width="43.560001373291016" hidden="0" customWidth="1"/>
  </x:cols>
  <x:sheetData>
    <x:row r="1" ht="18" customHeight="1">
      <x:c r="A1" s="6" t="str">
        <x:v>Locale-Tuned Market Mix</x:v>
      </x:c>
      <x:c r="B1" s="25"/>
      <x:c r="C1" s="25"/>
      <x:c r="D1" s="25"/>
      <x:c r="E1" s="25"/>
      <x:c r="F1" s="41"/>
      <x:c r="G1" s="41"/>
      <x:c r="H1" s="6"/>
      <x:c r="I1" s="40"/>
      <x:c r="J1" s="6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18" customHeight="1">
      <x:c r="A2" s="10" t="str">
        <x:v>USD is the model currency. Korea is included as a secondary social/fitness launch locale with explicit FX/pricing notes, not a commitment to launch there first.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18" customHeight="1"/>
    <x:row r="4" ht="18" customHeight="1">
      <x:c r="A4" s="14" t="str">
        <x:v>Scenario Locale Mix And Sponsor Indices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5" ht="18" customHeight="1">
      <x:c r="A5" s="23" t="str">
        <x:v>Locale</x:v>
      </x:c>
      <x:c r="B5" s="23" t="str">
        <x:v>Bear Mix</x:v>
      </x:c>
      <x:c r="C5" s="23" t="str">
        <x:v>Realistic Mix</x:v>
      </x:c>
      <x:c r="D5" s="23" t="str">
        <x:v>Bull Mix</x:v>
      </x:c>
      <x:c r="E5" s="23" t="str">
        <x:v>Breakout Mix</x:v>
      </x:c>
      <x:c r="F5" s="23" t="str">
        <x:v>Sponsor Rate Index</x:v>
      </x:c>
      <x:c r="G5" s="23" t="str">
        <x:v>CPI Index</x:v>
      </x:c>
      <x:c r="H5" s="23" t="str">
        <x:v>Local Price Guidance</x:v>
      </x:c>
      <x:c r="I5" s="23" t="str">
        <x:v>Sponsor / GTM Note</x:v>
      </x:c>
    </x:row>
    <x:row r="6" ht="18" customHeight="1">
      <x:c r="A6" s="18" t="str">
        <x:v>USA</x:v>
      </x:c>
      <x:c r="B6" s="18" t="n">
        <x:v>0.75</x:v>
      </x:c>
      <x:c r="C6" s="18" t="n">
        <x:v>0.65</x:v>
      </x:c>
      <x:c r="D6" s="18" t="n">
        <x:v>0.55</x:v>
      </x:c>
      <x:c r="E6" s="18" t="n">
        <x:v>0.45</x:v>
      </x:c>
      <x:c r="F6" s="18" t="n">
        <x:v>1.35</x:v>
      </x:c>
      <x:c r="G6" s="18" t="n">
        <x:v>1</x:v>
      </x:c>
      <x:c r="H6" s="18" t="str">
        <x:v>$7.99-$9.99</x:v>
      </x:c>
      <x:c r="I6" s="18" t="str">
        <x:v>Supplements, hydration, apparel, university/workplace wellness, wearables.</x:v>
      </x:c>
    </x:row>
    <x:row r="7" ht="18" customHeight="1">
      <x:c r="A7" s="18" t="str">
        <x:v>South Korea</x:v>
      </x:c>
      <x:c r="B7" s="18" t="n">
        <x:v>0.1</x:v>
      </x:c>
      <x:c r="C7" s="18" t="n">
        <x:v>0.15</x:v>
      </x:c>
      <x:c r="D7" s="18" t="n">
        <x:v>0.2</x:v>
      </x:c>
      <x:c r="E7" s="18" t="n">
        <x:v>0.25</x:v>
      </x:c>
      <x:c r="F7" s="18" t="n">
        <x:v>0.9</x:v>
      </x:c>
      <x:c r="G7" s="18" t="n">
        <x:v>0.65</x:v>
      </x:c>
      <x:c r="H7" s="18" t="str">
        <x:v>KRW 9,900-14,900</x:v>
      </x:c>
      <x:c r="I7" s="18" t="str">
        <x:v>Good secondary launch locale for cultural/social fitness loops; local sponsor inventory should be region-locked.</x:v>
      </x:c>
    </x:row>
    <x:row r="8" ht="18" customHeight="1">
      <x:c r="A8" s="18" t="str">
        <x:v>Rest of World</x:v>
      </x:c>
      <x:c r="B8" s="18" t="n">
        <x:v>0.15</x:v>
      </x:c>
      <x:c r="C8" s="18" t="n">
        <x:v>0.2</x:v>
      </x:c>
      <x:c r="D8" s="18" t="n">
        <x:v>0.25</x:v>
      </x:c>
      <x:c r="E8" s="18" t="n">
        <x:v>0.3</x:v>
      </x:c>
      <x:c r="F8" s="18" t="n">
        <x:v>0.65</x:v>
      </x:c>
      <x:c r="G8" s="18" t="n">
        <x:v>0.45</x:v>
      </x:c>
      <x:c r="H8" s="18" t="str">
        <x:v>PPP-localized later</x:v>
      </x:c>
      <x:c r="I8" s="18" t="str">
        <x:v>Do not over-sell sponsor inventory until country-level MAU density is visible.</x:v>
      </x:c>
    </x:row>
    <x:row r="9" ht="18" customHeight="1"/>
    <x:row r="10" ht="18" customHeight="1"/>
    <x:row r="11" ht="18" customHeight="1">
      <x:c r="A11" s="14" t="str">
        <x:v>Selected Scenario Locale Translation</x:v>
      </x:c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 ht="18" customHeight="1">
      <x:c r="A12" s="23" t="str">
        <x:v>Selected Scenario</x:v>
      </x:c>
      <x:c r="B12" s="23" t="str">
        <x:f>'Exec Summary'!$B$6</x:f>
        <x:v>Realistic</x:v>
      </x:c>
      <x:c r="C12" s="23" t="str"/>
      <x:c r="D12" t="str"/>
      <x:c r="E12" t="str"/>
      <x:c r="F12" t="str"/>
      <x:c r="G12" t="str"/>
    </x:row>
    <x:row r="13" ht="18" customHeight="1">
      <x:c r="A13" s="18" t="str">
        <x:v>FX KRW / USD</x:v>
      </x:c>
      <x:c r="B13" s="39" t="n">
        <x:f>Revenue_Build!$P$35</x:f>
        <x:v>1476.47</x:v>
      </x:c>
      <x:c r="C13" s="18" t="str">
        <x:v>Source: Federal Reserve H.10; refresh before pricing decisions.</x:v>
      </x:c>
      <x:c r="D13" t="str"/>
      <x:c r="E13" t="str"/>
      <x:c r="F13" t="str"/>
      <x:c r="G13" t="str"/>
    </x:row>
    <x:row r="14" ht="18" customHeight="1">
      <x:c r="A14" s="18" t="str">
        <x:v>US Subscription Price</x:v>
      </x:c>
      <x:c r="B14" s="35" t="n">
        <x:f>Revenue_Build!$P$16</x:f>
        <x:v>7.99</x:v>
      </x:c>
      <x:c r="C14" s="18" t="str"/>
      <x:c r="D14" t="str"/>
      <x:c r="E14" t="str"/>
      <x:c r="F14" t="str"/>
      <x:c r="G14" t="str"/>
    </x:row>
    <x:row r="15" ht="18" customHeight="1">
      <x:c r="A15" s="18" t="str">
        <x:v>Korea Approx Price (KRW)</x:v>
      </x:c>
      <x:c r="B15" s="32" t="n">
        <x:f>ROUND(B14*B13,-2)</x:f>
        <x:v>11800</x:v>
      </x:c>
      <x:c r="C15" s="18" t="str"/>
      <x:c r="D15" t="str"/>
      <x:c r="E15" t="str"/>
      <x:c r="F15" t="str"/>
      <x:c r="G15" t="str"/>
    </x:row>
    <x:row r="16" ht="18" customHeight="1">
      <x:c r="A16" s="18" t="str">
        <x:v>Locale Sum Check</x:v>
      </x:c>
      <x:c r="B16" s="34" t="n">
        <x:f>SUM(INDEX(B6:E8,0,MATCH(B12&amp;" Mix",B5:E5,0)))</x:f>
        <x:v>0.65</x:v>
      </x:c>
      <x:c r="C16" s="18" t="str">
        <x:v>Should equal 100%.</x:v>
      </x:c>
      <x:c r="D16" t="str"/>
      <x:c r="E16" t="str"/>
      <x:c r="F16" t="str"/>
      <x:c r="G16" t="str"/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J1"/>
    <x:mergeCell ref="A2:J2"/>
    <x:mergeCell ref="A4:J4"/>
    <x:mergeCell ref="A11:J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0.25" hidden="0" customWidth="1"/>
    <x:col min="3" max="3" width="39.880001068115234" hidden="0" customWidth="1"/>
    <x:col min="4" max="4" width="20.25" hidden="0" customWidth="1"/>
    <x:col min="5" max="5" width="20.25" hidden="0" customWidth="1"/>
    <x:col min="6" max="6" width="20.25" hidden="0" customWidth="1"/>
    <x:col min="7" max="7" width="20.25" hidden="0" customWidth="1"/>
    <x:col min="8" max="8" width="20.25" hidden="0" customWidth="1"/>
  </x:cols>
  <x:sheetData>
    <x:row r="1" ht="18" customHeight="1">
      <x:c r="A1" s="6" t="str">
        <x:v>Sponsor Model And Inventory Logic</x:v>
      </x:c>
      <x:c r="B1" s="6"/>
      <x:c r="C1" s="40"/>
      <x:c r="D1" s="6"/>
      <x:c r="E1" s="6"/>
      <x:c r="F1" s="6"/>
      <x:c r="G1" s="6"/>
      <x:c r="H1" s="6"/>
      <x:c r="I1" s="6"/>
      <x:c r="J1" s="6"/>
      <x:c r="K1" s="6"/>
      <x:c r="L1" s="6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18" customHeight="1">
      <x:c r="A2" s="10" t="str">
        <x:v>Sponsorship is modeled as a blend of performance-like participant-day value and fixed monthly category blocks. Early Just 20 should sell proof and community, not fake scale.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18" customHeight="1"/>
    <x:row r="4" ht="18" customHeight="1">
      <x:c r="A4" s="14" t="str">
        <x:v>Sponsor Package Ladder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 ht="18" customHeight="1">
      <x:c r="A5" s="23" t="str">
        <x:v>Tier</x:v>
      </x:c>
      <x:c r="B5" s="23" t="str">
        <x:v>When to sell</x:v>
      </x:c>
      <x:c r="C5" s="23" t="str">
        <x:v>Typical buyer</x:v>
      </x:c>
      <x:c r="D5" s="23" t="str">
        <x:v>Monthly fee range</x:v>
      </x:c>
      <x:c r="E5" s="23" t="str">
        <x:v>What sponsor buys</x:v>
      </x:c>
      <x:c r="F5" s="23" t="str">
        <x:v>Just 20 proof metric</x:v>
      </x:c>
      <x:c r="G5" s="23" t="str">
        <x:v>Risk</x:v>
      </x:c>
      <x:c r="H5" s="23" t="str">
        <x:v>Notes</x:v>
      </x:c>
    </x:row>
    <x:row r="6" ht="43.5" customHeight="1">
      <x:c r="A6" s="31" t="str">
        <x:v>Pilot Challenge</x:v>
      </x:c>
      <x:c r="B6" s="31" t="str">
        <x:v>Bear / Realistic</x:v>
      </x:c>
      <x:c r="C6" s="31" t="str">
        <x:v>Local gym, supplement shop, campus org</x:v>
      </x:c>
      <x:c r="D6" s="31" t="str">
        <x:v>$1.5k-$5k</x:v>
      </x:c>
      <x:c r="E6" s="31" t="str">
        <x:v>Named 7-30 day challenge</x:v>
      </x:c>
      <x:c r="F6" s="31" t="str">
        <x:v>Participants, completed workouts, proof-card shares</x:v>
      </x:c>
      <x:c r="G6" s="31" t="str">
        <x:v>Low scale</x:v>
      </x:c>
      <x:c r="H6" s="31" t="str">
        <x:v>Good founder-led sales motion.</x:v>
      </x:c>
    </x:row>
    <x:row r="7" ht="43.5" customHeight="1">
      <x:c r="A7" s="31" t="str">
        <x:v>Regional Category</x:v>
      </x:c>
      <x:c r="B7" s="31" t="str">
        <x:v>Realistic / Bull</x:v>
      </x:c>
      <x:c r="C7" s="31" t="str">
        <x:v>Regional wellness, apparel, hydration</x:v>
      </x:c>
      <x:c r="D7" s="31" t="str">
        <x:v>$5k-$20k</x:v>
      </x:c>
      <x:c r="E7" s="31" t="str">
        <x:v>Category lock in one locale</x:v>
      </x:c>
      <x:c r="F7" s="31" t="str">
        <x:v>Participant-days and repeat usage</x:v>
      </x:c>
      <x:c r="G7" s="31" t="str">
        <x:v>Sponsor churn</x:v>
      </x:c>
      <x:c r="H7" s="31" t="str">
        <x:v>Requires clean reporting.</x:v>
      </x:c>
    </x:row>
    <x:row r="8" ht="43.5" customHeight="1">
      <x:c r="A8" s="31" t="str">
        <x:v>National Category</x:v>
      </x:c>
      <x:c r="B8" s="31" t="str">
        <x:v>Bull</x:v>
      </x:c>
      <x:c r="C8" s="31" t="str">
        <x:v>National fitness/wellness brand</x:v>
      </x:c>
      <x:c r="D8" s="31" t="str">
        <x:v>$25k-$75k</x:v>
      </x:c>
      <x:c r="E8" s="31" t="str">
        <x:v>Category exclusivity + content hooks</x:v>
      </x:c>
      <x:c r="F8" s="31" t="str">
        <x:v>Proof cards, squads, badges, referral lift</x:v>
      </x:c>
      <x:c r="G8" s="31" t="str">
        <x:v>Brand safety</x:v>
      </x:c>
      <x:c r="H8" s="31" t="str">
        <x:v>Needs real retention and UGC moderation.</x:v>
      </x:c>
    </x:row>
    <x:row r="9" ht="43.5" customHeight="1">
      <x:c r="A9" s="31" t="str">
        <x:v>Presenting Sponsor</x:v>
      </x:c>
      <x:c r="B9" s="31" t="str">
        <x:v>Breakout</x:v>
      </x:c>
      <x:c r="C9" s="31" t="str">
        <x:v>Consumer brand / corporate wellness</x:v>
      </x:c>
      <x:c r="D9" s="31" t="str">
        <x:v>$100k-$250k+</x:v>
      </x:c>
      <x:c r="E9" s="31" t="str">
        <x:v>Seasonal challenge ownership</x:v>
      </x:c>
      <x:c r="F9" s="31" t="str">
        <x:v>Mass challenge participation and earned media</x:v>
      </x:c>
      <x:c r="G9" s="31" t="str">
        <x:v>Operational complexity</x:v>
      </x:c>
      <x:c r="H9" s="31" t="str">
        <x:v>Only after infrastructure and trust layer are proven.</x:v>
      </x:c>
    </x:row>
    <x:row r="10" ht="43.5" customHeight="1">
      <x:c r="A10" s="31" t="str">
        <x:v>Campus / Workplace League</x:v>
      </x:c>
      <x:c r="B10" s="31" t="str">
        <x:v>Realistic / Bull</x:v>
      </x:c>
      <x:c r="C10" s="31" t="str">
        <x:v>Employer, university, military-adjacent org</x:v>
      </x:c>
      <x:c r="D10" s="31" t="str">
        <x:v>$2k-$15k</x:v>
      </x:c>
      <x:c r="E10" s="31" t="str">
        <x:v>Private leaderboard/challenge</x:v>
      </x:c>
      <x:c r="F10" s="31" t="str">
        <x:v>Team starts, completion rate, streak continuity</x:v>
      </x:c>
      <x:c r="G10" s="31" t="str">
        <x:v>Sales cycle</x:v>
      </x:c>
      <x:c r="H10" s="31" t="str">
        <x:v>Strong bridge to B2B without changing core app.</x:v>
      </x:c>
    </x:row>
    <x:row r="11" ht="18" customHeight="1"/>
    <x:row r="12" ht="18" customHeight="1"/>
    <x:row r="13" ht="18" customHeight="1">
      <x:c r="A13" s="14" t="str">
        <x:v>Selected Scenario Sponsor Economics</x:v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 ht="18" customHeight="1">
      <x:c r="A14" s="23" t="str">
        <x:v>Metric</x:v>
      </x:c>
      <x:c r="B14" s="23" t="str">
        <x:v>Formula / Value</x:v>
      </x:c>
      <x:c r="C14" s="23" t="str">
        <x:v>Read</x:v>
      </x:c>
      <x:c r="D14" t="str"/>
      <x:c r="E14" t="str"/>
      <x:c r="F14" t="str"/>
    </x:row>
    <x:row r="15" ht="18" customHeight="1">
      <x:c r="A15" s="18" t="str">
        <x:v>Selected Scenario</x:v>
      </x:c>
      <x:c r="B15" s="18" t="str">
        <x:f>'Exec Summary'!$B$6</x:f>
        <x:v>Realistic</x:v>
      </x:c>
      <x:c r="C15" s="18" t="str">
        <x:v>Pulled from Exec Summary.</x:v>
      </x:c>
      <x:c r="D15" t="str"/>
      <x:c r="E15" t="str"/>
      <x:c r="F15" t="str"/>
    </x:row>
    <x:row r="16" ht="18" customHeight="1">
      <x:c r="A16" s="18" t="str">
        <x:v>M12 Participant-Days</x:v>
      </x:c>
      <x:c r="B16" s="32" t="n">
        <x:f>Revenue_Build!M11</x:f>
        <x:v>190410</x:v>
      </x:c>
      <x:c r="C16" s="18" t="str">
        <x:v>Monthly engaged inventory available for sponsor proof.</x:v>
      </x:c>
      <x:c r="D16" t="str"/>
      <x:c r="E16" t="str"/>
      <x:c r="F16" t="str"/>
    </x:row>
    <x:row r="17" ht="18" customHeight="1">
      <x:c r="A17" s="18" t="str">
        <x:v>Sponsor $ / Participant-Day</x:v>
      </x:c>
      <x:c r="B17" s="35" t="n">
        <x:f>Revenue_Build!$P$18</x:f>
        <x:v>4</x:v>
      </x:c>
      <x:c r="C17" s="18" t="str">
        <x:v>Internal price proxy; compare to CPM-like alternatives.</x:v>
      </x:c>
      <x:c r="D17" t="str"/>
      <x:c r="E17" t="str"/>
      <x:c r="F17" t="str"/>
    </x:row>
    <x:row r="18" ht="18" customHeight="1">
      <x:c r="A18" s="18" t="str">
        <x:v>Implied Sponsor CPM</x:v>
      </x:c>
      <x:c r="B18" s="35" t="n">
        <x:f>B17*1000</x:f>
        <x:v>4000</x:v>
      </x:c>
      <x:c r="C18" s="18" t="str">
        <x:v>Useful sanity check: participant-day dollars translated to CPM-equivalent.</x:v>
      </x:c>
      <x:c r="D18" t="str"/>
      <x:c r="E18" t="str"/>
      <x:c r="F18" t="str"/>
    </x:row>
    <x:row r="19" ht="18" customHeight="1">
      <x:c r="A19" s="18" t="str">
        <x:v>M12 Sponsor Revenue</x:v>
      </x:c>
      <x:c r="B19" s="33" t="n">
        <x:f>Revenue_Build!M15</x:f>
        <x:v>17408.4</x:v>
      </x:c>
      <x:c r="C19" s="18" t="str">
        <x:v>Participant-day plus sponsor package revenue.</x:v>
      </x:c>
      <x:c r="D19" t="str"/>
      <x:c r="E19" t="str"/>
      <x:c r="F19" t="str"/>
    </x:row>
    <x:row r="20" ht="18" customHeight="1">
      <x:c r="A20" s="18" t="str">
        <x:v>Annual Sponsor Revenue</x:v>
      </x:c>
      <x:c r="B20" s="33" t="n">
        <x:f>Revenue_Build!N15</x:f>
        <x:v>75469.20000000001</x:v>
      </x:c>
      <x:c r="C20" s="18" t="str">
        <x:v>Primary sponsor-side topline metric.</x:v>
      </x:c>
      <x:c r="D20" t="str"/>
      <x:c r="E20" t="str"/>
      <x:c r="F20" t="str"/>
    </x:row>
    <x:row r="21" ht="18" customHeight="1">
      <x:c r="A21" s="18" t="str">
        <x:v>Completed Workouts / Year</x:v>
      </x:c>
      <x:c r="B21" s="32" t="n">
        <x:f>Revenue_Build!N12</x:f>
        <x:v>502717.32</x:v>
      </x:c>
      <x:c r="C21" s="18" t="str">
        <x:v>Core proof inventory: completed workouts, not just installs.</x:v>
      </x:c>
      <x:c r="D21" t="str"/>
      <x:c r="E21" t="str"/>
      <x:c r="F21" t="str"/>
    </x:row>
    <x:row r="22" ht="18" customHeight="1">
      <x:c r="A22" s="18" t="str">
        <x:v>Sponsor Cost / Completed Workout</x:v>
      </x:c>
      <x:c r="B22" s="35" t="n">
        <x:f>IFERROR(B20/B21,0)</x:f>
        <x:v>0.150122538049813</x:v>
      </x:c>
      <x:c r="C22" s="18" t="str">
        <x:v>Lower is better for sponsor ROI story.</x:v>
      </x:c>
      <x:c r="D22" t="str"/>
      <x:c r="E22" t="str"/>
      <x:c r="F22" t="str"/>
    </x:row>
    <x:row r="23" ht="18" customHeight="1"/>
    <x:row r="24" ht="18" customHeight="1"/>
    <x:row r="25" ht="18" customHeight="1">
      <x:c r="A25" s="14" t="str">
        <x:v>Sponsor Sales Guardrails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 ht="36" customHeight="1">
      <x:c r="A26" s="23" t="str">
        <x:v>Guardrail</x:v>
      </x:c>
      <x:c r="B26" s="23" t="str">
        <x:v>Threshold before selling hard</x:v>
      </x:c>
      <x:c r="C26" s="23" t="str">
        <x:v>Why it matters</x:v>
      </x:c>
      <x:c r="D26" s="23" t="str">
        <x:v>Owner</x:v>
      </x:c>
    </x:row>
    <x:row r="27" ht="36" customHeight="1">
      <x:c r="A27" s="31" t="str">
        <x:v>Tracking trust</x:v>
      </x:c>
      <x:c r="B27" s="31" t="str">
        <x:v>Camera readiness and fallback path stable on real devices</x:v>
      </x:c>
      <x:c r="C27" s="31" t="str">
        <x:v>Sponsors cannot buy a habit app that users cannot reliably complete.</x:v>
      </x:c>
      <x:c r="D27" s="31" t="str">
        <x:v>Product</x:v>
      </x:c>
    </x:row>
    <x:row r="28" ht="36" customHeight="1">
      <x:c r="A28" s="31" t="str">
        <x:v>Retention</x:v>
      </x:c>
      <x:c r="B28" s="31" t="str">
        <x:v>Month-1 retention &gt;= Realistic assumption</x:v>
      </x:c>
      <x:c r="C28" s="31" t="str">
        <x:v>Sponsor revenue should follow retained behavior, not launch-week vanity.</x:v>
      </x:c>
      <x:c r="D28" s="31" t="str">
        <x:v>Growth</x:v>
      </x:c>
    </x:row>
    <x:row r="29" ht="36" customHeight="1">
      <x:c r="A29" s="31" t="str">
        <x:v>Proof cards</x:v>
      </x:c>
      <x:c r="B29" s="31" t="str">
        <x:v>Share flow works and produces sponsor-safe assets</x:v>
      </x:c>
      <x:c r="C29" s="31" t="str">
        <x:v>Sponsors need visible receipts to justify spend.</x:v>
      </x:c>
      <x:c r="D29" s="31" t="str">
        <x:v>Product/Growth</x:v>
      </x:c>
    </x:row>
    <x:row r="30" ht="36" customHeight="1">
      <x:c r="A30" s="31" t="str">
        <x:v>Reporting</x:v>
      </x:c>
      <x:c r="B30" s="31" t="str">
        <x:v>Can export participant-days, completions, shares, referrals by challenge</x:v>
      </x:c>
      <x:c r="C30" s="31" t="str">
        <x:v>Basic sponsor reporting unlocks larger packages.</x:v>
      </x:c>
      <x:c r="D30" s="31" t="str">
        <x:v>Ops</x:v>
      </x:c>
    </x:row>
    <x:row r="31" ht="36" customHeight="1">
      <x:c r="A31" s="31" t="str">
        <x:v>Brand safety</x:v>
      </x:c>
      <x:c r="B31" s="31" t="str">
        <x:v>UGC, invite, and squad language clearly moderated</x:v>
      </x:c>
      <x:c r="C31" s="31" t="str">
        <x:v>Protects premium category sponsors.</x:v>
      </x:c>
      <x:c r="D31" s="31" t="str">
        <x:v>Ops/Legal</x:v>
      </x:c>
    </x:row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L1"/>
    <x:mergeCell ref="A2:L2"/>
    <x:mergeCell ref="A4:L4"/>
    <x:mergeCell ref="A13:L13"/>
    <x:mergeCell ref="A25:L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43.560001373291016" hidden="0" customWidth="1"/>
    <x:col min="3" max="3" width="52.150001525878906" hidden="0" customWidth="1"/>
    <x:col min="4" max="4" width="26.3799991607666" hidden="0" customWidth="1"/>
  </x:cols>
  <x:sheetData>
    <x:row r="1" ht="18" customHeight="1">
      <x:c r="A1" s="6" t="str">
        <x:v>Sources And Benchmark Notes</x:v>
      </x:c>
      <x:c r="B1" s="6"/>
      <x:c r="C1" s="6"/>
      <x:c r="D1" s="6"/>
      <x:c r="E1" s="6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18" customHeight="1">
      <x:c r="A2" s="10" t="str">
        <x:v>Plain-text URLs are included for auditability. These are planning assumptions, not financial advice.</x:v>
      </x:c>
      <x:c r="B2" s="10"/>
      <x:c r="C2" s="10"/>
      <x:c r="D2" s="10"/>
      <x:c r="E2" s="10"/>
    </x:row>
    <x:row r="3" ht="18" customHeight="1"/>
    <x:row r="4" ht="18" customHeight="1">
      <x:c r="A4" s="23" t="str">
        <x:v>Source</x:v>
      </x:c>
      <x:c r="B4" s="23" t="str">
        <x:v>Used For</x:v>
      </x:c>
      <x:c r="C4" s="23" t="str">
        <x:v>URL / File</x:v>
      </x:c>
      <x:c r="D4" s="23" t="str">
        <x:v>Model Handling</x:v>
      </x:c>
    </x:row>
    <x:row r="5" ht="36" customHeight="1">
      <x:c r="A5" s="31" t="str">
        <x:v>RevenueCat 2026 Subscription Apps Report</x:v>
      </x:c>
      <x:c r="B5" s="31" t="str">
        <x:v>Health &amp; Fitness download-to-paid benchmark; used to keep Just 20 payer conversion below broad category medians until retention is proven.</x:v>
      </x:c>
      <x:c r="C5" s="31" t="str">
        <x:v>https://www.revenuecat.com/state-of-subscription-apps-2026-shopping/</x:v>
      </x:c>
      <x:c r="D5" s="31" t="str">
        <x:v>External benchmark; refresh before investor use.</x:v>
      </x:c>
    </x:row>
    <x:row r="6" ht="36" customHeight="1">
      <x:c r="A6" s="31" t="str">
        <x:v>AppsFlyer 2025 app marketing benchmark</x:v>
      </x:c>
      <x:c r="B6" s="31" t="str">
        <x:v>North America average CPI benchmark; used as an external anchor for paid install cost.</x:v>
      </x:c>
      <x:c r="C6" s="31" t="str">
        <x:v>https://www.appsflyer.com/resources/reports/app-marketing-benchmark/</x:v>
      </x:c>
      <x:c r="D6" s="31" t="str">
        <x:v>External benchmark; refresh before investor use.</x:v>
      </x:c>
    </x:row>
    <x:row r="7" ht="36" customHeight="1">
      <x:c r="A7" s="31" t="str">
        <x:v>Apple App Store Small Business Program</x:v>
      </x:c>
      <x:c r="B7" s="31" t="str">
        <x:v>15% App Store commission assumption for eligible small developers.</x:v>
      </x:c>
      <x:c r="C7" s="31" t="str">
        <x:v>https://developer.apple.com/app-store/small-business-program/</x:v>
      </x:c>
      <x:c r="D7" s="31" t="str">
        <x:v>External benchmark; refresh before investor use.</x:v>
      </x:c>
    </x:row>
    <x:row r="8" ht="36" customHeight="1">
      <x:c r="A8" s="31" t="str">
        <x:v>Google Play service fees</x:v>
      </x:c>
      <x:c r="B8" s="31" t="str">
        <x:v>15% service fee context for subscriptions and first $1M annual earnings.</x:v>
      </x:c>
      <x:c r="C8" s="31" t="str">
        <x:v>https://support.google.com/googleplay/android-developer/answer/11131145</x:v>
      </x:c>
      <x:c r="D8" s="31" t="str">
        <x:v>External benchmark; refresh before investor use.</x:v>
      </x:c>
    </x:row>
    <x:row r="9" ht="36" customHeight="1">
      <x:c r="A9" s="31" t="str">
        <x:v>Stripe US pricing</x:v>
      </x:c>
      <x:c r="B9" s="31" t="str">
        <x:v>2.9% + $0.30 card fee context; model uses a blended 3.2% payment fee for sponsor/direct payments.</x:v>
      </x:c>
      <x:c r="C9" s="31" t="str">
        <x:v>https://stripe.com/us/pricing</x:v>
      </x:c>
      <x:c r="D9" s="31" t="str">
        <x:v>External benchmark; refresh before investor use.</x:v>
      </x:c>
    </x:row>
    <x:row r="10" ht="36" customHeight="1">
      <x:c r="A10" s="31" t="str">
        <x:v>Grand View Research fitness app market</x:v>
      </x:c>
      <x:c r="B10" s="31" t="str">
        <x:v>External fitness-app market context; not used as a direct revenue input.</x:v>
      </x:c>
      <x:c r="C10" s="31" t="str">
        <x:v>https://www.grandviewresearch.com/industry-analysis/fitness-app-market</x:v>
      </x:c>
      <x:c r="D10" s="31" t="str">
        <x:v>External benchmark; refresh before investor use.</x:v>
      </x:c>
    </x:row>
    <x:row r="11" ht="36" customHeight="1">
      <x:c r="A11" s="31" t="str">
        <x:v>Federal Reserve H.10 USD/KRW</x:v>
      </x:c>
      <x:c r="B11" s="31" t="str">
        <x:v>FX anchor for Korea locale translation. Update before investor/shareholder use.</x:v>
      </x:c>
      <x:c r="C11" s="31" t="str">
        <x:v>https://www.federalreserve.gov/releases/h10/hist/dat00_ko.htm</x:v>
      </x:c>
      <x:c r="D11" s="31" t="str">
        <x:v>External benchmark; refresh before investor use.</x:v>
      </x:c>
    </x:row>
    <x:row r="12" ht="36" customHeight="1">
      <x:c r="A12" s="31" t="str">
        <x:v>Internal: plan.md</x:v>
      </x:c>
      <x:c r="B12" s="31" t="str">
        <x:v>Closed-beta usability plan and real-device testing posture.</x:v>
      </x:c>
      <x:c r="C12" s="31" t="str">
        <x:v>plan.md</x:v>
      </x:c>
      <x:c r="D12" s="31" t="str">
        <x:v>Internal product context.</x:v>
      </x:c>
    </x:row>
    <x:row r="13" ht="36" customHeight="1">
      <x:c r="A13" s="31" t="str">
        <x:v>Internal: xpshop.md</x:v>
      </x:c>
      <x:c r="B13" s="31" t="str">
        <x:v>Future XP shop and monetization ideas.</x:v>
      </x:c>
      <x:c r="C13" s="31" t="str">
        <x:v>xpshop.md</x:v>
      </x:c>
      <x:c r="D13" s="31" t="str">
        <x:v>Internal product context.</x:v>
      </x:c>
    </x:row>
    <x:row r="14" ht="36" customHeight="1">
      <x:c r="A14" s="31" t="str">
        <x:v>Internal: competitor-research.md / research.md</x:v>
      </x:c>
      <x:c r="B14" s="31" t="str">
        <x:v>Viral app and competitor learning; informs retention/referral assumptions qualitatively.</x:v>
      </x:c>
      <x:c r="C14" s="31" t="str">
        <x:v>competitor-research.md; research.md</x:v>
      </x:c>
      <x:c r="D14" s="31" t="str">
        <x:v>Internal product context.</x:v>
      </x:c>
    </x:row>
    <x:row r="15" ht="18" customHeight="1">
      <x:c r="A15" s="53"/>
      <x:c r="B15" s="53"/>
      <x:c r="C15" s="53"/>
      <x:c r="D15" s="53"/>
    </x:row>
    <x:row r="16" ht="18" customHeight="1"/>
    <x:row r="17" ht="18" customHeight="1"/>
    <x:row r="18" ht="18" customHeight="1">
      <x:c r="A18" s="14" t="str">
        <x:v>Important Disclaimer</x:v>
      </x:c>
      <x:c r="B18" s="14"/>
      <x:c r="C18" s="14"/>
      <x:c r="D18" s="14"/>
      <x:c r="E18" s="14"/>
    </x:row>
    <x:row r="19" ht="18" customHeight="1">
      <x:c r="A19" s="49" t="str">
        <x:v>This workbook is an operating-planning model for Just 20, not investment, tax, accounting, or legal advice.</x:v>
      </x:c>
      <x:c r="B19" s="49" t="str"/>
      <x:c r="C19" s="49" t="str"/>
      <x:c r="D19" s="49" t="str"/>
      <x:c r="E19" s="49" t="str"/>
    </x:row>
    <x:row r="20" ht="18" customHeight="1">
      <x:c r="A20" s="49" t="str">
        <x:v>All scenario assumptions should be replaced with measured app data as soon as the development build can be tested on physical devices.</x:v>
      </x:c>
      <x:c r="B20" s="49" t="str"/>
      <x:c r="C20" s="49" t="str"/>
      <x:c r="D20" s="49" t="str"/>
      <x:c r="E20" s="49" t="str"/>
    </x:row>
    <x:row r="21" ht="18" customHeight="1">
      <x:c r="A21" s="49" t="str">
        <x:v>Sponsor pricing is intentionally shown as an internal proxy. Real sponsor sales should be validated with founder-led outreach and signed pilots.</x:v>
      </x:c>
      <x:c r="B21" s="49" t="str"/>
      <x:c r="C21" s="49" t="str"/>
      <x:c r="D21" s="49" t="str"/>
      <x:c r="E21" s="49" t="str"/>
    </x:row>
    <x:row r="22" ht="18" customHeight="1">
      <x:c r="A22" s="49" t="str">
        <x:v>FX, CPI, platform fees, and subscription benchmarks are time-sensitive. Refresh before fundraising, pricing, or sponsor negotiations.</x:v>
      </x:c>
      <x:c r="B22" s="49" t="str"/>
      <x:c r="C22" s="49" t="str"/>
      <x:c r="D22" s="49" t="str"/>
      <x:c r="E22" s="49" t="str"/>
    </x:row>
    <x:row r="23" ht="18" customHeight="1">
      <x:c r="A23" s="49" t="str">
        <x:v>Cash commitment fees remain off because they add trust/legal/UX complexity before the MVP has proven reliable tracking.</x:v>
      </x:c>
      <x:c r="B23" s="49" t="str"/>
      <x:c r="C23" s="49" t="str"/>
      <x:c r="D23" s="49" t="str"/>
      <x:c r="E23" s="49" t="str"/>
    </x:row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E1"/>
    <x:mergeCell ref="A2:E2"/>
    <x:mergeCell ref="A18:E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29999923706055" hidden="0" customWidth="1"/>
    <x:col min="2" max="2" width="14.109999656677246" hidden="0" customWidth="1"/>
    <x:col min="3" max="3" width="10.430000305175781" hidden="0" customWidth="1"/>
    <x:col min="4" max="4" width="43.560001373291016" hidden="0" customWidth="1"/>
  </x:cols>
  <x:sheetData>
    <x:row r="1" ht="18" customHeight="1">
      <x:c r="A1" s="6" t="str">
        <x:v>Model Checks</x:v>
      </x:c>
      <x:c r="B1" s="6"/>
      <x:c r="C1" s="6"/>
      <x:c r="D1" s="6"/>
      <x:c r="E1" s="6"/>
      <x:c r="F1" s="6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5"/>
    </x:row>
    <x:row r="2" ht="18" customHeight="1">
      <x:c r="A2" s="10" t="str">
        <x:v>All rows should read OK before sharing the workbook.</x:v>
      </x:c>
      <x:c r="B2" s="10"/>
      <x:c r="C2" s="10"/>
      <x:c r="D2" s="10"/>
      <x:c r="E2" s="10"/>
      <x:c r="F2" s="10"/>
    </x:row>
    <x:row r="3" ht="18" customHeight="1"/>
    <x:row r="4" ht="18" customHeight="1">
      <x:c r="A4" s="23" t="str">
        <x:v>Check</x:v>
      </x:c>
      <x:c r="B4" s="23" t="str">
        <x:v>Formula</x:v>
      </x:c>
      <x:c r="C4" s="23" t="str">
        <x:v>Status</x:v>
      </x:c>
      <x:c r="D4" s="23" t="str">
        <x:v>Notes</x:v>
      </x:c>
    </x:row>
    <x:row r="5" ht="18" customHeight="1">
      <x:c r="A5" s="18" t="str">
        <x:v>Selected scenario valid</x:v>
      </x:c>
      <x:c r="B5" s="18" t="n">
        <x:f>COUNTIF(Assumptions!$A$6:$A$9,'Exec Summary'!$B$6)</x:f>
        <x:v>1</x:v>
      </x:c>
      <x:c r="C5" s="18" t="str">
        <x:f>IF(B5=1,"OK","CHECK")</x:f>
        <x:v>OK</x:v>
      </x:c>
      <x:c r="D5" s="18" t="str">
        <x:v>Exec Summary dropdown must match one assumption row.</x:v>
      </x:c>
    </x:row>
    <x:row r="6" ht="18" customHeight="1">
      <x:c r="A6" s="18" t="str">
        <x:v>Locale Bear mix = 100%</x:v>
      </x:c>
      <x:c r="B6" s="34" t="n">
        <x:f>SUM(Locale_Mix!B6:B8)</x:f>
        <x:v>1</x:v>
      </x:c>
      <x:c r="C6" s="18" t="str">
        <x:f>IF(ABS(B6-1)&lt;0.0001,"OK","CHECK")</x:f>
        <x:v>OK</x:v>
      </x:c>
      <x:c r="D6" s="18" t="str">
        <x:v>Locale_Mix percentages should sum to 100%.</x:v>
      </x:c>
    </x:row>
    <x:row r="7" ht="18" customHeight="1">
      <x:c r="A7" s="18" t="str">
        <x:v>Locale Realistic mix = 100%</x:v>
      </x:c>
      <x:c r="B7" s="34" t="n">
        <x:f>SUM(Locale_Mix!C6:C8)</x:f>
        <x:v>1</x:v>
      </x:c>
      <x:c r="C7" s="18" t="str">
        <x:f>IF(ABS(B7-1)&lt;0.0001,"OK","CHECK")</x:f>
        <x:v>OK</x:v>
      </x:c>
      <x:c r="D7" s="18" t="str">
        <x:v>Locale_Mix percentages should sum to 100%.</x:v>
      </x:c>
    </x:row>
    <x:row r="8" ht="18" customHeight="1">
      <x:c r="A8" s="18" t="str">
        <x:v>Locale Bull mix = 100%</x:v>
      </x:c>
      <x:c r="B8" s="34" t="n">
        <x:f>SUM(Locale_Mix!D6:D8)</x:f>
        <x:v>1</x:v>
      </x:c>
      <x:c r="C8" s="18" t="str">
        <x:f>IF(ABS(B8-1)&lt;0.0001,"OK","CHECK")</x:f>
        <x:v>OK</x:v>
      </x:c>
      <x:c r="D8" s="18" t="str">
        <x:v>Locale_Mix percentages should sum to 100%.</x:v>
      </x:c>
    </x:row>
    <x:row r="9" ht="18" customHeight="1">
      <x:c r="A9" s="18" t="str">
        <x:v>Locale Breakout mix = 100%</x:v>
      </x:c>
      <x:c r="B9" s="34" t="n">
        <x:f>SUM(Locale_Mix!E6:E8)</x:f>
        <x:v>1</x:v>
      </x:c>
      <x:c r="C9" s="18" t="str">
        <x:f>IF(ABS(B9-1)&lt;0.0001,"OK","CHECK")</x:f>
        <x:v>OK</x:v>
      </x:c>
      <x:c r="D9" s="18" t="str">
        <x:v>Locale_Mix percentages should sum to 100%.</x:v>
      </x:c>
    </x:row>
    <x:row r="10" ht="18" customHeight="1">
      <x:c r="A10" s="18" t="str">
        <x:v>Revenue total ties</x:v>
      </x:c>
      <x:c r="B10" s="37" t="n">
        <x:f>Revenue_Build!N19-SUM(Revenue_Build!N15:N18)</x:f>
        <x:v>0</x:v>
      </x:c>
      <x:c r="C10" s="18" t="str">
        <x:f>IF(ABS(B10)&lt;1,"OK","CHECK")</x:f>
        <x:v>OK</x:v>
      </x:c>
      <x:c r="D10" s="18" t="str">
        <x:v>Annual gross should equal revenue components.</x:v>
      </x:c>
    </x:row>
    <x:row r="11" ht="18" customHeight="1">
      <x:c r="A11" s="18" t="str">
        <x:v>Cost total ties</x:v>
      </x:c>
      <x:c r="B11" s="37" t="n">
        <x:f>Revenue_Build!N30-SUM(Revenue_Build!N20:N29)</x:f>
        <x:v>0</x:v>
      </x:c>
      <x:c r="C11" s="18" t="str">
        <x:f>IF(ABS(B11)&lt;1,"OK","CHECK")</x:f>
        <x:v>OK</x:v>
      </x:c>
      <x:c r="D11" s="18" t="str">
        <x:v>Annual operating cost should equal cost components.</x:v>
      </x:c>
    </x:row>
    <x:row r="12" ht="18" customHeight="1">
      <x:c r="A12" s="18" t="str">
        <x:v>NOI ties</x:v>
      </x:c>
      <x:c r="B12" s="37" t="n">
        <x:f>Revenue_Build!N31-(Revenue_Build!N19-Revenue_Build!N30)</x:f>
        <x:v>0</x:v>
      </x:c>
      <x:c r="C12" s="18" t="str">
        <x:f>IF(ABS(B12)&lt;1,"OK","CHECK")</x:f>
        <x:v>OK</x:v>
      </x:c>
      <x:c r="D12" s="18" t="str">
        <x:v>NOI should equal gross revenue minus operating costs.</x:v>
      </x:c>
    </x:row>
    <x:row r="13" ht="18" customHeight="1">
      <x:c r="A13" s="18" t="str">
        <x:v>Cash commitment off in selected scenario</x:v>
      </x:c>
      <x:c r="B13" s="37" t="n">
        <x:f>Revenue_Build!P32+Revenue_Build!P33</x:f>
        <x:v>0</x:v>
      </x:c>
      <x:c r="C13" s="18" t="str">
        <x:f>IF(B13=0,"OK","CHECK")</x:f>
        <x:v>OK</x:v>
      </x:c>
      <x:c r="D13" s="18" t="str">
        <x:v>MVP assumption keeps cash challenge mechanics off.</x:v>
      </x:c>
    </x:row>
    <x:row r="14" ht="18" customHeight="1">
      <x:c r="A14" s="18" t="str">
        <x:v>Selected gross ties to scenario table</x:v>
      </x:c>
      <x:c r="B14" s="37" t="n">
        <x:f>Revenue_Build!N19-INDEX(Scenario_Model!$G$6:$G$9,MATCH('Exec Summary'!$B$6,Scenario_Model!$A$6:$A$9,0))</x:f>
        <x:v>-0.7999199999903794</x:v>
      </x:c>
      <x:c r="C14" s="18" t="str">
        <x:f>IF(ABS(B14)&lt;1,"OK","CHECK")</x:f>
        <x:v>OK</x:v>
      </x:c>
      <x:c r="D14" s="18" t="str">
        <x:v>Selected monthly build should tie to Scenario_Model annual gross.</x:v>
      </x:c>
    </x:row>
    <x:row r="15" ht="18" customHeight="1">
      <x:c r="A15" s="18" t="str">
        <x:v>Selected sponsor ties to scenario table</x:v>
      </x:c>
      <x:c r="B15" s="37" t="n">
        <x:f>Revenue_Build!N15-INDEX(Scenario_Model!$H$6:$H$9,MATCH('Exec Summary'!$B$6,Scenario_Model!$A$6:$A$9,0))</x:f>
        <x:v>-0.7999999999883585</x:v>
      </x:c>
      <x:c r="C15" s="18" t="str">
        <x:f>IF(ABS(B15)&lt;1,"OK","CHECK")</x:f>
        <x:v>OK</x:v>
      </x:c>
      <x:c r="D15" s="18" t="str">
        <x:v>Selected monthly build should tie to Scenario_Model sponsor revenue.</x:v>
      </x:c>
    </x:row>
    <x:row r="16" ht="18" customHeight="1">
      <x:c r="A16" s="18" t="str">
        <x:v>Selected NOI ties to scenario table</x:v>
      </x:c>
      <x:c r="B16" s="37" t="n">
        <x:f>Revenue_Build!N31-INDEX(Scenario_Model!$K$6:$K$9,MATCH('Exec Summary'!$B$6,Scenario_Model!$A$6:$A$9,0))</x:f>
        <x:v>-1.1243320000357926</x:v>
      </x:c>
      <x:c r="C16" s="18" t="str">
        <x:f>IF(ABS(B16)&lt;2,"OK","CHECK")</x:f>
        <x:v>OK</x:v>
      </x:c>
      <x:c r="D16" s="18" t="str">
        <x:v>Selected monthly build should tie to Scenario_Model net operating income.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F1"/>
    <x:mergeCell ref="A2:F2"/>
  </x:mergeCells>
  <x:conditionalFormatting sqref="C5:C16">
    <x:cfRule type="containsText" dxfId="2" priority="1" operator="containsText" text="CHECK"/>
    <x:cfRule type="containsText" dxfId="3" priority="2" operator="containsText" text="OK"/>
  </x:conditionalFormatting>
  <x:pageMargins left="0.7" right="0.7" top="0.75" bottom="0.75" header="0.3" footer="0.3"/>
</x:worksheet>
</file>