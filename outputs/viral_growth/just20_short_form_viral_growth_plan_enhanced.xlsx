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abd45a527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9c8ec9a68e4c0b"/>
    <x:sheet xmlns:r="http://schemas.openxmlformats.org/officeDocument/2006/relationships" name="Sources" sheetId="2" r:id="R46922d20db6e40d0"/>
    <x:sheet xmlns:r="http://schemas.openxmlformats.org/officeDocument/2006/relationships" name="Experiment Backlog" sheetId="3" r:id="Rbc077eb211af44e2"/>
    <x:sheet xmlns:r="http://schemas.openxmlformats.org/officeDocument/2006/relationships" name="Creative Scorecard" sheetId="4" r:id="Rb73d0e26ebd24cf1"/>
    <x:sheet xmlns:r="http://schemas.openxmlformats.org/officeDocument/2006/relationships" name="Platform Templates" sheetId="5" r:id="Rc2a1133157fd4d71"/>
    <x:sheet xmlns:r="http://schemas.openxmlformats.org/officeDocument/2006/relationships" name="Referral Tracker" sheetId="6" r:id="R523dce7a539f4d41"/>
    <x:sheet xmlns:r="http://schemas.openxmlformats.org/officeDocument/2006/relationships" name="UGC Pipeline" sheetId="7" r:id="R14ad104ac5b44a04"/>
    <x:sheet xmlns:r="http://schemas.openxmlformats.org/officeDocument/2006/relationships" name="Challenge Calendar" sheetId="8" r:id="R24ebfc0d60eb4563"/>
    <x:sheet xmlns:r="http://schemas.openxmlformats.org/officeDocument/2006/relationships" name="Paid Amplification" sheetId="9" r:id="Rebbf983c8cad4358"/>
    <x:sheet xmlns:r="http://schemas.openxmlformats.org/officeDocument/2006/relationships" name="Safety Checklist" sheetId="10" r:id="R4aca6c0c4c9d4be5"/>
    <x:sheet xmlns:r="http://schemas.openxmlformats.org/officeDocument/2006/relationships" name="Week 01" sheetId="11" r:id="Rfe6c962e45b84296"/>
    <x:sheet xmlns:r="http://schemas.openxmlformats.org/officeDocument/2006/relationships" name="Week 02" sheetId="12" r:id="R50e1285e9b994ddd"/>
    <x:sheet xmlns:r="http://schemas.openxmlformats.org/officeDocument/2006/relationships" name="Week 03" sheetId="13" r:id="R4c152446ee964c4d"/>
    <x:sheet xmlns:r="http://schemas.openxmlformats.org/officeDocument/2006/relationships" name="Week 04" sheetId="14" r:id="R6f35162d110e44b3"/>
    <x:sheet xmlns:r="http://schemas.openxmlformats.org/officeDocument/2006/relationships" name="Week 05" sheetId="15" r:id="R7dd7ed598d0c4efd"/>
    <x:sheet xmlns:r="http://schemas.openxmlformats.org/officeDocument/2006/relationships" name="Week 06" sheetId="16" r:id="R7bc6f1c107cc4a7a"/>
    <x:sheet xmlns:r="http://schemas.openxmlformats.org/officeDocument/2006/relationships" name="Week 07" sheetId="17" r:id="R8f2ce6b5cf174f05"/>
    <x:sheet xmlns:r="http://schemas.openxmlformats.org/officeDocument/2006/relationships" name="Week 08" sheetId="18" r:id="R662b45ae75104aea"/>
    <x:sheet xmlns:r="http://schemas.openxmlformats.org/officeDocument/2006/relationships" name="Week 09" sheetId="19" r:id="Rbcd8834ce8bd4750"/>
    <x:sheet xmlns:r="http://schemas.openxmlformats.org/officeDocument/2006/relationships" name="Week 10" sheetId="20" r:id="R403b10edcfff4b15"/>
    <x:sheet xmlns:r="http://schemas.openxmlformats.org/officeDocument/2006/relationships" name="Week 11" sheetId="21" r:id="R94fd2a0af96f4def"/>
    <x:sheet xmlns:r="http://schemas.openxmlformats.org/officeDocument/2006/relationships" name="Week 12" sheetId="22" r:id="Rd842161ac4c6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%"/>
    <x:numFmt numFmtId="203" formatCode="$0.00"/>
  </x:numFmts>
  <x:fonts count="8">
    <x:font>
      <x:sz val="11"/>
      <x:name val="Carlito"/>
    </x:font>
    <x:font>
      <x:sz val="10"/>
      <x:color rgb="1A1A1A"/>
      <x:name val="Aptos"/>
    </x:font>
    <x:font>
      <x:b/>
      <x:sz val="18"/>
      <x:color rgb="FFFFFF"/>
      <x:name val="Aptos"/>
    </x:font>
    <x:font>
      <x:b/>
      <x:sz val="11"/>
      <x:color rgb="1A1A1A"/>
      <x:name val="Carlito"/>
    </x:font>
    <x:font>
      <x:b/>
      <x:sz val="10"/>
      <x:color rgb="FFFFFF"/>
      <x:name val="Carlito"/>
    </x:font>
    <x:font>
      <x:sz val="10"/>
      <x:color rgb="1A1A1A"/>
      <x:name val="Carlito"/>
    </x:font>
    <x:font>
      <x:b/>
      <x:sz val="10"/>
      <x:color rgb="1A1A1A"/>
      <x:name val="Carlito"/>
    </x:font>
    <x:font>
      <x:b/>
      <x:sz val="12"/>
      <x:color rgb="1A1A1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1F1A"/>
      </x:patternFill>
    </x:fill>
    <x:fill>
      <x:patternFill patternType="solid">
        <x:fgColor rgb="FFF0E8"/>
      </x:patternFill>
    </x:fill>
    <x:fill>
      <x:patternFill patternType="solid">
        <x:fgColor rgb="FFFFFF"/>
      </x:patternFill>
    </x:fill>
    <x:fill>
      <x:patternFill patternType="solid">
        <x:fgColor rgb="FF6B35"/>
      </x:patternFill>
    </x:fill>
    <x:fill>
      <x:patternFill patternType="solid">
        <x:fgColor rgb="FFF6D8"/>
      </x:patternFill>
    </x:fill>
  </x:fills>
  <x:borders count="18">
    <x:border/>
    <x:border>
      <x:left style="thin">
        <x:color rgb="1F1F1A"/>
      </x:left>
      <x:top style="thin">
        <x:color rgb="1F1F1A"/>
      </x:top>
      <x:bottom style="thin">
        <x:color rgb="1F1F1A"/>
      </x:bottom>
    </x:border>
    <x:border>
      <x:top style="thin">
        <x:color rgb="1F1F1A"/>
      </x:top>
      <x:bottom style="thin">
        <x:color rgb="1F1F1A"/>
      </x:bottom>
    </x:border>
    <x:border>
      <x:right style="thin">
        <x:color rgb="1F1F1A"/>
      </x:right>
      <x:top style="thin">
        <x:color rgb="1F1F1A"/>
      </x:top>
      <x:bottom style="thin">
        <x:color rgb="1F1F1A"/>
      </x:bottom>
    </x:border>
    <x:border>
      <x:left style="thin">
        <x:color rgb="E3DED2"/>
      </x:left>
      <x:top style="thin">
        <x:color rgb="E3DED2"/>
      </x:top>
      <x:bottom style="thin">
        <x:color rgb="E3DED2"/>
      </x:bottom>
    </x:border>
    <x:border>
      <x:top style="thin">
        <x:color rgb="E3DED2"/>
      </x:top>
      <x:bottom style="thin">
        <x:color rgb="E3DED2"/>
      </x:bottom>
    </x:border>
    <x:border>
      <x:right style="thin">
        <x:color rgb="E3DED2"/>
      </x:right>
      <x:top style="thin">
        <x:color rgb="E3DED2"/>
      </x:top>
      <x:bottom style="thin">
        <x:color rgb="E3DED2"/>
      </x:bottom>
    </x:border>
    <x:border>
      <x:left style="thin">
        <x:color rgb="FF6B35"/>
      </x:left>
      <x:top style="thin">
        <x:color rgb="FF6B35"/>
      </x:top>
      <x:bottom style="thin">
        <x:color rgb="FF6B35"/>
      </x:bottom>
    </x:border>
    <x:border>
      <x:right style="thin">
        <x:color rgb="FF6B35"/>
      </x:right>
      <x:top style="thin">
        <x:color rgb="FF6B35"/>
      </x:top>
      <x:bottom style="thin">
        <x:color rgb="FF6B35"/>
      </x:bottom>
    </x:border>
    <x:border>
      <x:left style="thin">
        <x:color rgb="E3DED2"/>
      </x:left>
      <x:top style="thin">
        <x:color rgb="E3DED2"/>
      </x:top>
    </x:border>
    <x:border>
      <x:right style="thin">
        <x:color rgb="E3DED2"/>
      </x:right>
      <x:top style="thin">
        <x:color rgb="E3DED2"/>
      </x:top>
    </x:border>
    <x:border>
      <x:left style="thin">
        <x:color rgb="E3DED2"/>
      </x:left>
    </x:border>
    <x:border>
      <x:right style="thin">
        <x:color rgb="E3DED2"/>
      </x:right>
    </x:border>
    <x:border>
      <x:left style="thin">
        <x:color rgb="E3DED2"/>
      </x:left>
      <x:bottom style="thin">
        <x:color rgb="E3DED2"/>
      </x:bottom>
    </x:border>
    <x:border>
      <x:right style="thin">
        <x:color rgb="E3DED2"/>
      </x:right>
      <x:bottom style="thin">
        <x:color rgb="E3DED2"/>
      </x:bottom>
    </x:border>
    <x:border>
      <x:top style="thin">
        <x:color rgb="E3DED2"/>
      </x:top>
    </x:border>
    <x:border>
      <x:bottom style="thin">
        <x:color rgb="E3DED2"/>
      </x:bottom>
    </x:border>
    <x:border>
      <x:top style="thin">
        <x:color rgb="FF6B35"/>
      </x:top>
      <x:bottom style="thin">
        <x:color rgb="FF6B35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200" fontId="5" fillId="4" borderId="15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4" borderId="16" xfId="0" applyNumberFormat="1" applyFont="1" applyFill="1" applyBorder="1" applyAlignment="1">
      <x:alignment vertical="top" wrapText="1"/>
    </x:xf>
    <x:xf numFmtId="201" fontId="5" fillId="4" borderId="9" xfId="0" applyNumberFormat="1" applyFont="1" applyFill="1" applyBorder="1" applyAlignment="1">
      <x:alignment vertical="top" wrapText="1"/>
    </x:xf>
    <x:xf numFmtId="201" fontId="5" fillId="4" borderId="11" xfId="0" applyNumberFormat="1" applyFont="1" applyFill="1" applyBorder="1" applyAlignment="1">
      <x:alignment vertical="top" wrapText="1"/>
    </x:xf>
    <x:xf numFmtId="201" fontId="5" fillId="4" borderId="13" xfId="0" applyNumberFormat="1" applyFont="1" applyFill="1" applyBorder="1" applyAlignment="1">
      <x:alignment vertical="top" wrapText="1"/>
    </x:xf>
    <x:xf numFmtId="202" fontId="5" fillId="4" borderId="15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2" fontId="5" fillId="4" borderId="16" xfId="0" applyNumberFormat="1" applyFont="1" applyFill="1" applyBorder="1" applyAlignment="1">
      <x:alignment vertical="top" wrapText="1"/>
    </x:xf>
    <x:xf numFmtId="203" fontId="5" fillId="4" borderId="15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203" fontId="5" fillId="4" borderId="16" xfId="0" applyNumberFormat="1" applyFont="1" applyFill="1" applyBorder="1" applyAlignment="1">
      <x:alignment vertical="top" wrapText="1"/>
    </x:xf>
    <x:xf numFmtId="201" fontId="5" fillId="4" borderId="15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4" borderId="16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5" fillId="3" borderId="15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  <x:xf numFmtId="202" fontId="5" fillId="4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5" xfId="0" applyNumberFormat="1" applyFont="1" applyFill="1" applyBorder="1"/>
    <x:xf numFmtId="0" fontId="7" fillId="6" borderId="10" xfId="0" applyNumberFormat="1" applyFont="1" applyFill="1" applyBorder="1"/>
    <x:xf numFmtId="0" fontId="7" fillId="6" borderId="13" xfId="0" applyNumberFormat="1" applyFont="1" applyFill="1" applyBorder="1"/>
    <x:xf numFmtId="0" fontId="7" fillId="6" borderId="16" xfId="0" applyNumberFormat="1" applyFont="1" applyFill="1" applyBorder="1"/>
    <x:xf numFmtId="0" fontId="7" fillId="6" borderId="14" xfId="0" applyNumberFormat="1" applyFont="1" applyFill="1" applyBorder="1"/>
    <x:xf numFmtId="0" fontId="7" fillId="6" borderId="9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vertical="center"/>
    </x:xf>
    <x:xf numFmtId="0" fontId="7" fillId="6" borderId="16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/>
    </x:xf>
    <x:xf numFmtId="0" fontId="4" fillId="5" borderId="17" xfId="0" applyNumberFormat="1" applyFont="1" applyFill="1" applyBorder="1"/>
    <x:xf numFmtId="0" fontId="4" fillId="5" borderId="17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8103732c64f34" /><Relationship Type="http://schemas.openxmlformats.org/officeDocument/2006/relationships/theme" Target="/xl/theme/theme1.xml" Id="R73fd474fd5f54e9d" /><Relationship Type="http://schemas.openxmlformats.org/officeDocument/2006/relationships/sharedStrings" Target="/xl/sharedStrings.xml" Id="R98df55434c8241f0" /><Relationship Type="http://schemas.openxmlformats.org/officeDocument/2006/relationships/worksheet" Target="/xl/worksheets/sheet1.xml" Id="Rb99c8ec9a68e4c0b" /><Relationship Type="http://schemas.openxmlformats.org/officeDocument/2006/relationships/worksheet" Target="/xl/worksheets/sheet2.xml" Id="R46922d20db6e40d0" /><Relationship Type="http://schemas.openxmlformats.org/officeDocument/2006/relationships/worksheet" Target="/xl/worksheets/sheet3.xml" Id="Rbc077eb211af44e2" /><Relationship Type="http://schemas.openxmlformats.org/officeDocument/2006/relationships/worksheet" Target="/xl/worksheets/sheet4.xml" Id="Rb73d0e26ebd24cf1" /><Relationship Type="http://schemas.openxmlformats.org/officeDocument/2006/relationships/worksheet" Target="/xl/worksheets/sheet5.xml" Id="Rc2a1133157fd4d71" /><Relationship Type="http://schemas.openxmlformats.org/officeDocument/2006/relationships/worksheet" Target="/xl/worksheets/sheet6.xml" Id="R523dce7a539f4d41" /><Relationship Type="http://schemas.openxmlformats.org/officeDocument/2006/relationships/worksheet" Target="/xl/worksheets/sheet7.xml" Id="R14ad104ac5b44a04" /><Relationship Type="http://schemas.openxmlformats.org/officeDocument/2006/relationships/worksheet" Target="/xl/worksheets/sheet8.xml" Id="R24ebfc0d60eb4563" /><Relationship Type="http://schemas.openxmlformats.org/officeDocument/2006/relationships/worksheet" Target="/xl/worksheets/sheet9.xml" Id="Rebbf983c8cad4358" /><Relationship Type="http://schemas.openxmlformats.org/officeDocument/2006/relationships/worksheet" Target="/xl/worksheets/sheet10.xml" Id="R4aca6c0c4c9d4be5" /><Relationship Type="http://schemas.openxmlformats.org/officeDocument/2006/relationships/worksheet" Target="/xl/worksheets/sheet11.xml" Id="Rfe6c962e45b84296" /><Relationship Type="http://schemas.openxmlformats.org/officeDocument/2006/relationships/worksheet" Target="/xl/worksheets/sheet12.xml" Id="R50e1285e9b994ddd" /><Relationship Type="http://schemas.openxmlformats.org/officeDocument/2006/relationships/worksheet" Target="/xl/worksheets/sheet13.xml" Id="R4c152446ee964c4d" /><Relationship Type="http://schemas.openxmlformats.org/officeDocument/2006/relationships/worksheet" Target="/xl/worksheets/sheet14.xml" Id="R6f35162d110e44b3" /><Relationship Type="http://schemas.openxmlformats.org/officeDocument/2006/relationships/worksheet" Target="/xl/worksheets/sheet15.xml" Id="R7dd7ed598d0c4efd" /><Relationship Type="http://schemas.openxmlformats.org/officeDocument/2006/relationships/worksheet" Target="/xl/worksheets/sheet16.xml" Id="R7bc6f1c107cc4a7a" /><Relationship Type="http://schemas.openxmlformats.org/officeDocument/2006/relationships/worksheet" Target="/xl/worksheets/sheet17.xml" Id="R8f2ce6b5cf174f05" /><Relationship Type="http://schemas.openxmlformats.org/officeDocument/2006/relationships/worksheet" Target="/xl/worksheets/sheet18.xml" Id="R662b45ae75104aea" /><Relationship Type="http://schemas.openxmlformats.org/officeDocument/2006/relationships/worksheet" Target="/xl/worksheets/sheet19.xml" Id="Rbcd8834ce8bd4750" /><Relationship Type="http://schemas.openxmlformats.org/officeDocument/2006/relationships/worksheet" Target="/xl/worksheets/sheet20.xml" Id="R403b10edcfff4b15" /><Relationship Type="http://schemas.openxmlformats.org/officeDocument/2006/relationships/worksheet" Target="/xl/worksheets/sheet21.xml" Id="R94fd2a0af96f4def" /><Relationship Type="http://schemas.openxmlformats.org/officeDocument/2006/relationships/worksheet" Target="/xl/worksheets/sheet22.xml" Id="Rd842161ac4c64f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20e09053ce40e1" /><Relationship Type="http://schemas.openxmlformats.org/officeDocument/2006/relationships/chart" Target="/xl/drawings/charts/chart2.xml" Id="R169f1e0840e84e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Installs and Activated Users by Week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Installs</c:v>
          </c:tx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300</c:v>
              </c:pt>
              <c:pt idx="1">
                <c:v>650</c:v>
              </c:pt>
              <c:pt idx="2">
                <c:v>1100</c:v>
              </c:pt>
              <c:pt idx="3">
                <c:v>1800</c:v>
              </c:pt>
              <c:pt idx="4">
                <c:v>2600</c:v>
              </c:pt>
              <c:pt idx="5">
                <c:v>4000</c:v>
              </c:pt>
              <c:pt idx="6">
                <c:v>5500</c:v>
              </c:pt>
              <c:pt idx="7">
                <c:v>7200</c:v>
              </c:pt>
              <c:pt idx="8">
                <c:v>9000</c:v>
              </c:pt>
              <c:pt idx="9">
                <c:v>12000</c:v>
              </c:pt>
              <c:pt idx="10">
                <c:v>17000</c:v>
              </c:pt>
              <c:pt idx="11">
                <c:v>26000</c:v>
              </c:pt>
            </c:numLit>
          </c:val>
          <c:smooth val="0"/>
        </c:ser>
        <c:ser>
          <c:idx val="1"/>
          <c:order val="1"/>
          <c:tx>
            <c:v>Activated users</c:v>
          </c:tx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120</c:v>
              </c:pt>
              <c:pt idx="1">
                <c:v>300</c:v>
              </c:pt>
              <c:pt idx="2">
                <c:v>550</c:v>
              </c:pt>
              <c:pt idx="3">
                <c:v>900</c:v>
              </c:pt>
              <c:pt idx="4">
                <c:v>1300</c:v>
              </c:pt>
              <c:pt idx="5">
                <c:v>2100</c:v>
              </c:pt>
              <c:pt idx="6">
                <c:v>3000</c:v>
              </c:pt>
              <c:pt idx="7">
                <c:v>4100</c:v>
              </c:pt>
              <c:pt idx="8">
                <c:v>5200</c:v>
              </c:pt>
              <c:pt idx="9">
                <c:v>7200</c:v>
              </c:pt>
              <c:pt idx="10">
                <c:v>10500</c:v>
              </c:pt>
              <c:pt idx="11">
                <c:v>16500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UGC/Shares by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Shares/UGC</c:v>
          </c:tx>
          <c:spPr>
            <a:solidFill xmlns:a="http://schemas.openxmlformats.org/drawingml/2006/main">
              <a:srgbClr val="EAF8FF"/>
            </a:solidFill>
          </c:spPr>
          <c:cat>
            <c:strLit>
              <c:ptCount val="12"/>
              <c:pt idx="0">
                <c:v>W1</c:v>
              </c:pt>
              <c:pt idx="1">
                <c:v>W2</c:v>
              </c:pt>
              <c:pt idx="2">
                <c:v>W3</c:v>
              </c:pt>
              <c:pt idx="3">
                <c:v>W4</c:v>
              </c:pt>
              <c:pt idx="4">
                <c:v>W5</c:v>
              </c:pt>
              <c:pt idx="5">
                <c:v>W6</c:v>
              </c:pt>
              <c:pt idx="6">
                <c:v>W7</c:v>
              </c:pt>
              <c:pt idx="7">
                <c:v>W8</c:v>
              </c:pt>
              <c:pt idx="8">
                <c:v>W9</c:v>
              </c:pt>
              <c:pt idx="9">
                <c:v>W10</c:v>
              </c:pt>
              <c:pt idx="10">
                <c:v>W11</c:v>
              </c:pt>
              <c:pt idx="11">
                <c:v>W12</c:v>
              </c:pt>
            </c:strLit>
          </c:cat>
          <c:val>
            <c:numLit>
              <c:formatCode/>
              <c:ptCount val="12"/>
              <c:pt idx="0">
                <c:v>45</c:v>
              </c:pt>
              <c:pt idx="1">
                <c:v>90</c:v>
              </c:pt>
              <c:pt idx="2">
                <c:v>180</c:v>
              </c:pt>
              <c:pt idx="3">
                <c:v>300</c:v>
              </c:pt>
              <c:pt idx="4">
                <c:v>430</c:v>
              </c:pt>
              <c:pt idx="5">
                <c:v>700</c:v>
              </c:pt>
              <c:pt idx="6">
                <c:v>900</c:v>
              </c:pt>
              <c:pt idx="7">
                <c:v>1250</c:v>
              </c:pt>
              <c:pt idx="8">
                <c:v>1550</c:v>
              </c:pt>
              <c:pt idx="9">
                <c:v>2200</c:v>
              </c:pt>
              <c:pt idx="10">
                <c:v>3400</c:v>
              </c:pt>
              <c:pt idx="11">
                <c:v>5200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29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20e09053ce40e1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9f1e0840e84ec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4cd5e9b8a343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22.700000762939453" hidden="0" customWidth="1"/>
    <x:col min="3" max="3" width="12.270000457763672" hidden="0" customWidth="1"/>
    <x:col min="4" max="4" width="12.270000457763672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20.25" hidden="0" customWidth="1"/>
    <x:col min="9" max="9" width="14.109999656677246" hidden="0" customWidth="1"/>
    <x:col min="10" max="10" width="14.109999656677246" hidden="0" customWidth="1"/>
    <x:col min="11" max="11" width="14.109999656677246" hidden="0" customWidth="1"/>
    <x:col min="12" max="12" width="14.109999656677246" hidden="0" customWidth="1"/>
  </x:cols>
  <x:sheetData>
    <x:row r="1" ht="31.5" customHeight="1">
      <x:c r="A1" s="8" t="str">
        <x:v>Just 20 Viral Growth Plan - Short-Form Launch Operating Sheet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10" t="str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" customHeight="1">
      <x:c r="A2" s="13" t="str">
        <x:v>Goal: maximize downloads and daily usage by turning every workout into proof, every proof into a challenge, and every challenge into friend installs.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</x:row>
    <x:row r="4" ht="22.5" customHeight="1">
      <x:c r="A4" s="25" t="str">
        <x:v>North Star</x:v>
      </x:c>
      <x:c r="B4" s="26" t="str">
        <x:v>90-day download target</x:v>
      </x:c>
      <x:c r="C4" s="26" t="str">
        <x:v>Activated users</x:v>
      </x:c>
      <x:c r="D4" s="26" t="str">
        <x:v>UGC/share target</x:v>
      </x:c>
      <x:c r="E4" s="26" t="str">
        <x:v>Primary channels</x:v>
      </x:c>
      <x:c r="F4" s="27" t="str">
        <x:v>Operating rule</x:v>
      </x:c>
    </x:row>
    <x:row r="5">
      <x:c r="A5" s="36" t="str">
        <x:v>Daily completed workouts from referred installs</x:v>
      </x:c>
      <x:c r="B5" s="39" t="n">
        <x:f>SUM(F16:F27)</x:f>
        <x:v>87150</x:v>
      </x:c>
      <x:c r="C5" s="39" t="n">
        <x:f>SUM(G16:G27)</x:f>
        <x:v>51770</x:v>
      </x:c>
      <x:c r="D5" s="39" t="n">
        <x:f>SUM(H16:H27)</x:f>
        <x:v>16245</x:v>
      </x:c>
      <x:c r="E5" s="37" t="str">
        <x:v>TikTok, Instagram Reels, YouTube Shorts, Snapchat Spotlight, Reddit/Discord communities</x:v>
      </x:c>
      <x:c r="F5" s="38" t="str">
        <x:v>Cut losers weekly; amplify winners; keep product loop honest.</x:v>
      </x:c>
    </x:row>
    <x:row r="8" ht="22.5" customHeight="1">
      <x:c r="A8" s="48" t="str">
        <x:v>Launch Thesis</x:v>
      </x:c>
      <x:c r="B8" s="49" t="str">
        <x:v>What it means for content</x:v>
      </x:c>
    </x:row>
    <x:row r="9">
      <x:c r="A9" s="62" t="str">
        <x:v>One-action wedge</x:v>
      </x:c>
      <x:c r="B9" s="63" t="str">
        <x:v>Every video explains: 20 pushups, once a day, proof card, challenge a friend.</x:v>
      </x:c>
    </x:row>
    <x:row r="10">
      <x:c r="A10" s="64" t="str">
        <x:v>Viral object</x:v>
      </x:c>
      <x:c r="B10" s="65" t="str">
        <x:v>The completion receipt is the shareable artifact; badges, streaks and coins give it a reason to recur.</x:v>
      </x:c>
    </x:row>
    <x:row r="11">
      <x:c r="A11" s="64" t="str">
        <x:v>Competitor opening</x:v>
      </x:c>
      <x:c r="B11" s="65" t="str">
        <x:v>Do not become a workout library. Beat Seven on simplicity, Zing on narrow camera trust, BetterMe on cleaner challenge packaging.</x:v>
      </x:c>
    </x:row>
    <x:row r="12">
      <x:c r="A12" s="66" t="str">
        <x:v>Distribution posture</x:v>
      </x:c>
      <x:c r="B12" s="67" t="str">
        <x:v>Organic-first. Use paid only to amplify proven organic hooks after Week 8.</x:v>
      </x:c>
    </x:row>
    <x:row r="15" ht="15" hidden="0" customHeight="1">
      <x:c r="A15" s="25" t="str">
        <x:v>Week</x:v>
      </x:c>
      <x:c r="B15" s="26" t="str">
        <x:v>Phase</x:v>
      </x:c>
      <x:c r="C15" s="26" t="str">
        <x:v>Theme</x:v>
      </x:c>
      <x:c r="D15" s="26" t="str">
        <x:v>Posts</x:v>
      </x:c>
      <x:c r="E15" s="26" t="str">
        <x:v>Views</x:v>
      </x:c>
      <x:c r="F15" s="26" t="str">
        <x:v>Installs</x:v>
      </x:c>
      <x:c r="G15" s="26" t="str">
        <x:v>Activated</x:v>
      </x:c>
      <x:c r="H15" s="26" t="str">
        <x:v>Shares/UGC</x:v>
      </x:c>
      <x:c r="I15" s="26" t="str">
        <x:v>Creator DMs</x:v>
      </x:c>
      <x:c r="J15" s="27" t="str">
        <x:v>Key Experiment</x:v>
      </x:c>
    </x:row>
    <x:row r="16" ht="60" hidden="0" customHeight="1">
      <x:c r="A16" s="76" t="n">
        <x:v>1</x:v>
      </x:c>
      <x:c r="B16" s="73" t="str">
        <x:f>'Week 01'!H3</x:f>
        <x:v>Foundation</x:v>
      </x:c>
      <x:c r="C16" s="73" t="str">
        <x:f>'Week 01'!B3</x:f>
        <x:v>Founder proof and beta waitlist</x:v>
      </x:c>
      <x:c r="D16" s="79" t="n">
        <x:f>'Week 01'!B7</x:f>
        <x:v>18</x:v>
      </x:c>
      <x:c r="E16" s="79" t="n">
        <x:f>'Week 01'!C7</x:f>
        <x:v>75000</x:v>
      </x:c>
      <x:c r="F16" s="79" t="n">
        <x:f>'Week 01'!D7</x:f>
        <x:v>300</x:v>
      </x:c>
      <x:c r="G16" s="79" t="n">
        <x:f>'Week 01'!E7</x:f>
        <x:v>120</x:v>
      </x:c>
      <x:c r="H16" s="79" t="n">
        <x:f>'Week 01'!F7</x:f>
        <x:v>45</x:v>
      </x:c>
      <x:c r="I16" s="79" t="n">
        <x:f>'Week 01'!G7</x:f>
        <x:v>120</x:v>
      </x:c>
      <x:c r="J16" s="63" t="str">
        <x:f>'Week 01'!D4</x:f>
        <x:v>Founder hook variants: annoying app vs one-set challenge vs camera proof.</x:v>
      </x:c>
    </x:row>
    <x:row r="17" ht="48" hidden="0" customHeight="1">
      <x:c r="A17" s="77" t="n">
        <x:v>2</x:v>
      </x:c>
      <x:c r="B17" s="74" t="str">
        <x:f>'Week 02'!H3</x:f>
        <x:v>Activation</x:v>
      </x:c>
      <x:c r="C17" s="74" t="str">
        <x:f>'Week 02'!B3</x:f>
        <x:v>7-day no-excuses challenge</x:v>
      </x:c>
      <x:c r="D17" s="80" t="n">
        <x:f>'Week 02'!B7</x:f>
        <x:v>21</x:v>
      </x:c>
      <x:c r="E17" s="80" t="n">
        <x:f>'Week 02'!C7</x:f>
        <x:v>125000</x:v>
      </x:c>
      <x:c r="F17" s="80" t="n">
        <x:f>'Week 02'!D7</x:f>
        <x:v>650</x:v>
      </x:c>
      <x:c r="G17" s="80" t="n">
        <x:f>'Week 02'!E7</x:f>
        <x:v>300</x:v>
      </x:c>
      <x:c r="H17" s="80" t="n">
        <x:f>'Week 02'!F7</x:f>
        <x:v>90</x:v>
      </x:c>
      <x:c r="I17" s="80" t="n">
        <x:f>'Week 02'!G7</x:f>
        <x:v>150</x:v>
      </x:c>
      <x:c r="J17" s="65" t="str">
        <x:f>'Week 02'!D4</x:f>
        <x:v>Challenge headline test: no excuses vs app will annoy you vs prove it.</x:v>
      </x:c>
    </x:row>
    <x:row r="18" ht="60" hidden="0" customHeight="1">
      <x:c r="A18" s="77" t="n">
        <x:v>3</x:v>
      </x:c>
      <x:c r="B18" s="74" t="str">
        <x:f>'Week 03'!H3</x:f>
        <x:v>Proof Loop</x:v>
      </x:c>
      <x:c r="C18" s="74" t="str">
        <x:f>'Week 03'!B3</x:f>
        <x:v>Completion cards and public receipts</x:v>
      </x:c>
      <x:c r="D18" s="80" t="n">
        <x:f>'Week 03'!B7</x:f>
        <x:v>24</x:v>
      </x:c>
      <x:c r="E18" s="80" t="n">
        <x:f>'Week 03'!C7</x:f>
        <x:v>200000</x:v>
      </x:c>
      <x:c r="F18" s="80" t="n">
        <x:f>'Week 03'!D7</x:f>
        <x:v>1100</x:v>
      </x:c>
      <x:c r="G18" s="80" t="n">
        <x:f>'Week 03'!E7</x:f>
        <x:v>550</x:v>
      </x:c>
      <x:c r="H18" s="80" t="n">
        <x:f>'Week 03'!F7</x:f>
        <x:v>180</x:v>
      </x:c>
      <x:c r="I18" s="80" t="n">
        <x:f>'Week 03'!G7</x:f>
        <x:v>200</x:v>
      </x:c>
      <x:c r="J18" s="65" t="str">
        <x:f>'Week 03'!D4</x:f>
        <x:v>Receipt formats: day number, speed, badge unlock, friend challenge.</x:v>
      </x:c>
    </x:row>
    <x:row r="19" ht="48" hidden="0" customHeight="1">
      <x:c r="A19" s="77" t="n">
        <x:v>4</x:v>
      </x:c>
      <x:c r="B19" s="74" t="str">
        <x:f>'Week 04'!H3</x:f>
        <x:v>Creator Seeding</x:v>
      </x:c>
      <x:c r="C19" s="74" t="str">
        <x:f>'Week 04'!B3</x:f>
        <x:v>Micro-creator challenge codes</x:v>
      </x:c>
      <x:c r="D19" s="80" t="n">
        <x:f>'Week 04'!B7</x:f>
        <x:v>28</x:v>
      </x:c>
      <x:c r="E19" s="80" t="n">
        <x:f>'Week 04'!C7</x:f>
        <x:v>300000</x:v>
      </x:c>
      <x:c r="F19" s="80" t="n">
        <x:f>'Week 04'!D7</x:f>
        <x:v>1800</x:v>
      </x:c>
      <x:c r="G19" s="80" t="n">
        <x:f>'Week 04'!E7</x:f>
        <x:v>900</x:v>
      </x:c>
      <x:c r="H19" s="80" t="n">
        <x:f>'Week 04'!F7</x:f>
        <x:v>300</x:v>
      </x:c>
      <x:c r="I19" s="80" t="n">
        <x:f>'Week 04'!G7</x:f>
        <x:v>250</x:v>
      </x:c>
      <x:c r="J19" s="65" t="str">
        <x:f>'Week 04'!D4</x:f>
        <x:v>Creator vertical test: fitness, college, comedy, productivity.</x:v>
      </x:c>
    </x:row>
    <x:row r="20" ht="48" hidden="0" customHeight="1">
      <x:c r="A20" s="77" t="n">
        <x:v>5</x:v>
      </x:c>
      <x:c r="B20" s="74" t="str">
        <x:f>'Week 05'!H3</x:f>
        <x:v>Trust</x:v>
      </x:c>
      <x:c r="C20" s="74" t="str">
        <x:f>'Week 05'!B3</x:f>
        <x:v>Camera proof and clean rep counter</x:v>
      </x:c>
      <x:c r="D20" s="80" t="n">
        <x:f>'Week 05'!B7</x:f>
        <x:v>28</x:v>
      </x:c>
      <x:c r="E20" s="80" t="n">
        <x:f>'Week 05'!C7</x:f>
        <x:v>425000</x:v>
      </x:c>
      <x:c r="F20" s="80" t="n">
        <x:f>'Week 05'!D7</x:f>
        <x:v>2600</x:v>
      </x:c>
      <x:c r="G20" s="80" t="n">
        <x:f>'Week 05'!E7</x:f>
        <x:v>1300</x:v>
      </x:c>
      <x:c r="H20" s="80" t="n">
        <x:f>'Week 05'!F7</x:f>
        <x:v>430</x:v>
      </x:c>
      <x:c r="I20" s="80" t="n">
        <x:f>'Week 05'!G7</x:f>
        <x:v>300</x:v>
      </x:c>
      <x:c r="J20" s="65" t="str">
        <x:f>'Week 05'!D4</x:f>
        <x:v>Camera overlay demos vs fail/recover calibration demos.</x:v>
      </x:c>
    </x:row>
    <x:row r="21" ht="48" hidden="0" customHeight="1">
      <x:c r="A21" s="77" t="n">
        <x:v>6</x:v>
      </x:c>
      <x:c r="B21" s="74" t="str">
        <x:f>'Week 06'!H3</x:f>
        <x:v>Retention</x:v>
      </x:c>
      <x:c r="C21" s="74" t="str">
        <x:f>'Week 06'!B3</x:f>
        <x:v>Streak milestones and badge reveals</x:v>
      </x:c>
      <x:c r="D21" s="80" t="n">
        <x:f>'Week 06'!B7</x:f>
        <x:v>30</x:v>
      </x:c>
      <x:c r="E21" s="80" t="n">
        <x:f>'Week 06'!C7</x:f>
        <x:v>600000</x:v>
      </x:c>
      <x:c r="F21" s="80" t="n">
        <x:f>'Week 06'!D7</x:f>
        <x:v>4000</x:v>
      </x:c>
      <x:c r="G21" s="80" t="n">
        <x:f>'Week 06'!E7</x:f>
        <x:v>2100</x:v>
      </x:c>
      <x:c r="H21" s="80" t="n">
        <x:f>'Week 06'!F7</x:f>
        <x:v>700</x:v>
      </x:c>
      <x:c r="I21" s="80" t="n">
        <x:f>'Week 06'!G7</x:f>
        <x:v>350</x:v>
      </x:c>
      <x:c r="J21" s="65" t="str">
        <x:f>'Week 06'!D4</x:f>
        <x:v>Badge reveal afterglow vs streak loss avoidance vs friend streak.</x:v>
      </x:c>
    </x:row>
    <x:row r="22" ht="36" hidden="0" customHeight="1">
      <x:c r="A22" s="77" t="n">
        <x:v>7</x:v>
      </x:c>
      <x:c r="B22" s="74" t="str">
        <x:f>'Week 07'!H3</x:f>
        <x:v>Economy</x:v>
      </x:c>
      <x:c r="C22" s="74" t="str">
        <x:f>'Week 07'!B3</x:f>
        <x:v>XP, coins, shop and weekly chest</x:v>
      </x:c>
      <x:c r="D22" s="80" t="n">
        <x:f>'Week 07'!B7</x:f>
        <x:v>30</x:v>
      </x:c>
      <x:c r="E22" s="80" t="n">
        <x:f>'Week 07'!C7</x:f>
        <x:v>750000</x:v>
      </x:c>
      <x:c r="F22" s="80" t="n">
        <x:f>'Week 07'!D7</x:f>
        <x:v>5500</x:v>
      </x:c>
      <x:c r="G22" s="80" t="n">
        <x:f>'Week 07'!E7</x:f>
        <x:v>3000</x:v>
      </x:c>
      <x:c r="H22" s="80" t="n">
        <x:f>'Week 07'!F7</x:f>
        <x:v>900</x:v>
      </x:c>
      <x:c r="I22" s="80" t="n">
        <x:f>'Week 07'!G7</x:f>
        <x:v>350</x:v>
      </x:c>
      <x:c r="J22" s="65" t="str">
        <x:f>'Week 07'!D4</x:f>
        <x:v>Coin shop reveals, chest openings, freeze refill drama.</x:v>
      </x:c>
    </x:row>
    <x:row r="23" ht="48" hidden="0" customHeight="1">
      <x:c r="A23" s="77" t="n">
        <x:v>8</x:v>
      </x:c>
      <x:c r="B23" s="74" t="str">
        <x:f>'Week 08'!H3</x:f>
        <x:v>Groups</x:v>
      </x:c>
      <x:c r="C23" s="74" t="str">
        <x:f>'Week 08'!B3</x:f>
        <x:v>Squads, offices, classes and teams</x:v>
      </x:c>
      <x:c r="D23" s="80" t="n">
        <x:f>'Week 08'!B7</x:f>
        <x:v>34</x:v>
      </x:c>
      <x:c r="E23" s="80" t="n">
        <x:f>'Week 08'!C7</x:f>
        <x:v>900000</x:v>
      </x:c>
      <x:c r="F23" s="80" t="n">
        <x:f>'Week 08'!D7</x:f>
        <x:v>7200</x:v>
      </x:c>
      <x:c r="G23" s="80" t="n">
        <x:f>'Week 08'!E7</x:f>
        <x:v>4100</x:v>
      </x:c>
      <x:c r="H23" s="80" t="n">
        <x:f>'Week 08'!F7</x:f>
        <x:v>1250</x:v>
      </x:c>
      <x:c r="I23" s="80" t="n">
        <x:f>'Week 08'!G7</x:f>
        <x:v>400</x:v>
      </x:c>
      <x:c r="J23" s="65" t="str">
        <x:f>'Week 08'!D4</x:f>
        <x:v>Office squad vs college dorm vs gym group vs couple challenge.</x:v>
      </x:c>
    </x:row>
    <x:row r="24" ht="60" hidden="0" customHeight="1">
      <x:c r="A24" s="77" t="n">
        <x:v>9</x:v>
      </x:c>
      <x:c r="B24" s="74" t="str">
        <x:f>'Week 09'!H3</x:f>
        <x:v>Category Claim</x:v>
      </x:c>
      <x:c r="C24" s="74" t="str">
        <x:f>'Week 09'!B3</x:f>
        <x:v>Not a workout app, a daily dare</x:v>
      </x:c>
      <x:c r="D24" s="80" t="n">
        <x:f>'Week 09'!B7</x:f>
        <x:v>34</x:v>
      </x:c>
      <x:c r="E24" s="80" t="n">
        <x:f>'Week 09'!C7</x:f>
        <x:v>1100000</x:v>
      </x:c>
      <x:c r="F24" s="80" t="n">
        <x:f>'Week 09'!D7</x:f>
        <x:v>9000</x:v>
      </x:c>
      <x:c r="G24" s="80" t="n">
        <x:f>'Week 09'!E7</x:f>
        <x:v>5200</x:v>
      </x:c>
      <x:c r="H24" s="80" t="n">
        <x:f>'Week 09'!F7</x:f>
        <x:v>1550</x:v>
      </x:c>
      <x:c r="I24" s="80" t="n">
        <x:f>'Week 09'!G7</x:f>
        <x:v>450</x:v>
      </x:c>
      <x:c r="J24" s="65" t="str">
        <x:f>'Week 09'!D4</x:f>
        <x:v>Conquest angles: 7-minute workouts vs one set, AI coach vs no excuses.</x:v>
      </x:c>
    </x:row>
    <x:row r="25" ht="48" hidden="0" customHeight="1">
      <x:c r="A25" s="77" t="n">
        <x:v>10</x:v>
      </x:c>
      <x:c r="B25" s="74" t="str">
        <x:f>'Week 10'!H3</x:f>
        <x:v>Sponsor Test</x:v>
      </x:c>
      <x:c r="C25" s="74" t="str">
        <x:f>'Week 10'!B3</x:f>
        <x:v>Sponsor-backed challenge prototype</x:v>
      </x:c>
      <x:c r="D25" s="80" t="n">
        <x:f>'Week 10'!B7</x:f>
        <x:v>38</x:v>
      </x:c>
      <x:c r="E25" s="80" t="n">
        <x:f>'Week 10'!C7</x:f>
        <x:v>1400000</x:v>
      </x:c>
      <x:c r="F25" s="80" t="n">
        <x:f>'Week 10'!D7</x:f>
        <x:v>12000</x:v>
      </x:c>
      <x:c r="G25" s="80" t="n">
        <x:f>'Week 10'!E7</x:f>
        <x:v>7200</x:v>
      </x:c>
      <x:c r="H25" s="80" t="n">
        <x:f>'Week 10'!F7</x:f>
        <x:v>2200</x:v>
      </x:c>
      <x:c r="I25" s="80" t="n">
        <x:f>'Week 10'!G7</x:f>
        <x:v>550</x:v>
      </x:c>
      <x:c r="J25" s="65" t="str">
        <x:f>'Week 10'!D4</x:f>
        <x:v>Local gym, protein brand, college club and creator bounty offers.</x:v>
      </x:c>
    </x:row>
    <x:row r="26" ht="60" hidden="0" customHeight="1">
      <x:c r="A26" s="77" t="n">
        <x:v>11</x:v>
      </x:c>
      <x:c r="B26" s="74" t="str">
        <x:f>'Week 11'!H3</x:f>
        <x:v>Referral Sprint</x:v>
      </x:c>
      <x:c r="C26" s="74" t="str">
        <x:f>'Week 11'!B3</x:f>
        <x:v>Popular, Evangelist and squad invite badges</x:v>
      </x:c>
      <x:c r="D26" s="80" t="n">
        <x:f>'Week 11'!B7</x:f>
        <x:v>42</x:v>
      </x:c>
      <x:c r="E26" s="80" t="n">
        <x:f>'Week 11'!C7</x:f>
        <x:v>1800000</x:v>
      </x:c>
      <x:c r="F26" s="80" t="n">
        <x:f>'Week 11'!D7</x:f>
        <x:v>17000</x:v>
      </x:c>
      <x:c r="G26" s="80" t="n">
        <x:f>'Week 11'!E7</x:f>
        <x:v>10500</x:v>
      </x:c>
      <x:c r="H26" s="80" t="n">
        <x:f>'Week 11'!F7</x:f>
        <x:v>3400</x:v>
      </x:c>
      <x:c r="I26" s="80" t="n">
        <x:f>'Week 11'!G7</x:f>
        <x:v>650</x:v>
      </x:c>
      <x:c r="J26" s="65" t="str">
        <x:f>'Week 11'!D4</x:f>
        <x:v>Badge-driven referral copy vs squad challenge copy vs leaderboard copy.</x:v>
      </x:c>
    </x:row>
    <x:row r="27" ht="60" hidden="0" customHeight="1">
      <x:c r="A27" s="78" t="n">
        <x:v>12</x:v>
      </x:c>
      <x:c r="B27" s="75" t="str">
        <x:f>'Week 12'!H3</x:f>
        <x:v>Breakout Push</x:v>
      </x:c>
      <x:c r="C27" s="75" t="str">
        <x:f>'Week 12'!B3</x:f>
        <x:v>Paid amplification of organic winners</x:v>
      </x:c>
      <x:c r="D27" s="81" t="n">
        <x:f>'Week 12'!B7</x:f>
        <x:v>50</x:v>
      </x:c>
      <x:c r="E27" s="81" t="n">
        <x:f>'Week 12'!C7</x:f>
        <x:v>2500000</x:v>
      </x:c>
      <x:c r="F27" s="81" t="n">
        <x:f>'Week 12'!D7</x:f>
        <x:v>26000</x:v>
      </x:c>
      <x:c r="G27" s="81" t="n">
        <x:f>'Week 12'!E7</x:f>
        <x:v>16500</x:v>
      </x:c>
      <x:c r="H27" s="81" t="n">
        <x:f>'Week 12'!F7</x:f>
        <x:v>5200</x:v>
      </x:c>
      <x:c r="I27" s="81" t="n">
        <x:f>'Week 12'!G7</x:f>
        <x:v>800</x:v>
      </x:c>
      <x:c r="J27" s="67" t="str">
        <x:f>'Week 12'!D4</x:f>
        <x:v>Amplify top 5 hooks; cut losers; convert best UGC into ads with permission.</x:v>
      </x:c>
    </x:row>
  </x:sheetData>
  <x:pageMargins left="0.7" right="0.7" top="0.75" bottom="0.75" header="0.3" footer="0.3"/>
  <x:drawing xmlns:r="http://schemas.openxmlformats.org/officeDocument/2006/relationships" r:id="R8f4cd5e9b8a3435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8.829999923706055" hidden="0" customWidth="1"/>
    <x:col min="3" max="3" width="55.83000183105469" hidden="0" customWidth="1"/>
    <x:col min="4" max="4" width="68.0999984741211" hidden="0" customWidth="1"/>
  </x:cols>
  <x:sheetData>
    <x:row r="1" ht="31.5" customHeight="1">
      <x:c r="A1" s="8" t="str">
        <x:v>Sources and Planning Assumptions</x:v>
      </x:c>
      <x:c r="B1" s="9" t="str"/>
      <x:c r="C1" s="9" t="str"/>
      <x:c r="D1" s="10" t="str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Type</x:v>
      </x:c>
      <x:c r="B3" s="26" t="str">
        <x:v>Source</x:v>
      </x:c>
      <x:c r="C3" s="26" t="str">
        <x:v>How it was used</x:v>
      </x:c>
      <x:c r="D3" s="27" t="str">
        <x:v>Path or URL</x:v>
      </x:c>
    </x:row>
    <x:row r="4">
      <x:c r="A4" s="62" t="str">
        <x:v>Local strategy</x:v>
      </x:c>
      <x:c r="B4" s="73" t="str">
        <x:v>MARKETING.md</x:v>
      </x:c>
      <x:c r="C4" s="73" t="str">
        <x:v>Positioning, funnel, brand voice, content pillars, channel cadence, creator outreach.</x:v>
      </x:c>
      <x:c r="D4" s="63" t="str">
        <x:v>/Users/jakey/Documents/Codex/2026-04-27/clone-a-new-project-from-my/just20-jake/MARKETING.md</x:v>
      </x:c>
    </x:row>
    <x:row r="5">
      <x:c r="A5" s="64" t="str">
        <x:v>Local competitor research</x:v>
      </x:c>
      <x:c r="B5" s="74" t="str">
        <x:v>competitor-research.md</x:v>
      </x:c>
      <x:c r="C5" s="74" t="str">
        <x:v>Seven, Freeletics, Zing, Nike Training Club, Sworkit, BetterMe and Just20 opening.</x:v>
      </x:c>
      <x:c r="D5" s="65" t="str">
        <x:v>/Users/jakey/Documents/Codex/2026-04-27/clone-a-new-project-from-my/just20-jake/competitor-research.md</x:v>
      </x:c>
    </x:row>
    <x:row r="6">
      <x:c r="A6" s="64" t="str">
        <x:v>Local competitive landscape</x:v>
      </x:c>
      <x:c r="B6" s="74" t="str">
        <x:v>competitive-landscape.md</x:v>
      </x:c>
      <x:c r="C6" s="74" t="str">
        <x:v>Sponsored challenges, commitment contracts, reward apps, streak/mascot apps, differentiated Just20 thesis.</x:v>
      </x:c>
      <x:c r="D6" s="65" t="str">
        <x:v>/Users/jakey/Documents/Codex/2026-04-27/clone-a-new-project-from-my/just20-jake/competitive-landscape.md</x:v>
      </x:c>
    </x:row>
    <x:row r="7">
      <x:c r="A7" s="64" t="str">
        <x:v>TikTok Business</x:v>
      </x:c>
      <x:c r="B7" s="74" t="str">
        <x:v>Creative best practices for performance ads</x:v>
      </x:c>
      <x:c r="C7" s="74" t="str">
        <x:v>TikTok-first vertical creative, people on camera, trends, first 3-6 second hook, captions, creative refresh.</x:v>
      </x:c>
      <x:c r="D7" s="65" t="str">
        <x:v>https://ads.tiktok.com/help/article/creative-best-practices</x:v>
      </x:c>
    </x:row>
    <x:row r="8">
      <x:c r="A8" s="64" t="str">
        <x:v>YouTube Help</x:v>
      </x:c>
      <x:c r="B8" s="74" t="str">
        <x:v>Get started creating YouTube Shorts</x:v>
      </x:c>
      <x:c r="C8" s="74" t="str">
        <x:v>Shorts up to 3 minutes, vertical uploads, discovery surfaces, Shorts views and engaged views.</x:v>
      </x:c>
      <x:c r="D8" s="65" t="str">
        <x:v>https://support.google.com/youtube/answer/10059070?hl=en</x:v>
      </x:c>
    </x:row>
    <x:row r="9">
      <x:c r="A9" s="64" t="str">
        <x:v>YouTube Help</x:v>
      </x:c>
      <x:c r="B9" s="74" t="str">
        <x:v>Search and discovery tips</x:v>
      </x:c>
      <x:c r="C9" s="74" t="str">
        <x:v>Shorts ranking uses viewer choice, average view duration, average percent viewed, engagement and topic competition.</x:v>
      </x:c>
      <x:c r="D9" s="65" t="str">
        <x:v>https://support.google.com/youtube/answer/11914225?co=YOUTUBE._YTVideoType%3Dshorts&amp;hl=en</x:v>
      </x:c>
    </x:row>
    <x:row r="10">
      <x:c r="A10" s="64" t="str">
        <x:v>Snapchat Support</x:v>
      </x:c>
      <x:c r="B10" s="74" t="str">
        <x:v>Spotlight Guidelines</x:v>
      </x:c>
      <x:c r="C10" s="74" t="str">
        <x:v>Spotlight recommendation eligibility depends on safe, positive content guidelines.</x:v>
      </x:c>
      <x:c r="D10" s="65" t="str">
        <x:v>https://help.snapchat.com/hc/en-us/articles/7012287256596-Spotlight-Guidelines</x:v>
      </x:c>
    </x:row>
    <x:row r="11">
      <x:c r="A11" s="66" t="str">
        <x:v>Meta for Business</x:v>
      </x:c>
      <x:c r="B11" s="75" t="str">
        <x:v>Instagram/Facebook Reels ads</x:v>
      </x:c>
      <x:c r="C11" s="75" t="str">
        <x:v>Use 9:16 video with audio and safe-zone creative for Reels-style performance creative.</x:v>
      </x:c>
      <x:c r="D11" s="67" t="str">
        <x:v>https://www.facebook.com/business/ads/facebook-instagram-reels-ads</x:v>
      </x:c>
    </x:row>
    <x:row r="15" ht="22.5" customHeight="1">
      <x:c r="A15" s="48" t="str">
        <x:v>Planning Assumption</x:v>
      </x:c>
      <x:c r="B15" s="49" t="str">
        <x:v>Default Used</x:v>
      </x:c>
    </x:row>
    <x:row r="16">
      <x:c r="A16" s="62" t="str">
        <x:v>Launch duration</x:v>
      </x:c>
      <x:c r="B16" s="63" t="str">
        <x:v>12 weeks</x:v>
      </x:c>
    </x:row>
    <x:row r="17">
      <x:c r="A17" s="64" t="str">
        <x:v>Primary objective</x:v>
      </x:c>
      <x:c r="B17" s="65" t="str">
        <x:v>Downloads and activated daily users, not views alone</x:v>
      </x:c>
    </x:row>
    <x:row r="18">
      <x:c r="A18" s="64" t="str">
        <x:v>Primary user loop</x:v>
      </x:c>
      <x:c r="B18" s="65" t="str">
        <x:v>Short-form video -&gt; install -&gt; first 20 -&gt; proof card -&gt; friend challenge -&gt; streak</x:v>
      </x:c>
    </x:row>
    <x:row r="19">
      <x:c r="A19" s="64" t="str">
        <x:v>Posting model</x:v>
      </x:c>
      <x:c r="B19" s="65" t="str">
        <x:v>High-volume organic testing first; paid amplification only after organic winners are identified</x:v>
      </x:c>
    </x:row>
    <x:row r="20">
      <x:c r="A20" s="64" t="str">
        <x:v>Attribution</x:v>
      </x:c>
      <x:c r="B20" s="65" t="str">
        <x:v>Use unique links/codes per platform, creator and challenge where possible</x:v>
      </x:c>
    </x:row>
    <x:row r="21">
      <x:c r="A21" s="64" t="str">
        <x:v>Product promise constraint</x:v>
      </x:c>
      <x:c r="B21" s="65" t="str">
        <x:v>No medical claims, no body-shaming, no fake scarcity, no fake user counts</x:v>
      </x:c>
    </x:row>
    <x:row r="22">
      <x:c r="A22" s="66"/>
      <x:c r="B22" s="6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9.819999694824219" hidden="0" customWidth="1"/>
    <x:col min="3" max="3" width="15.34000015258789" hidden="0" customWidth="1"/>
    <x:col min="4" max="4" width="15.949999809265137" hidden="0" customWidth="1"/>
    <x:col min="5" max="5" width="33.7400016784668" hidden="0" customWidth="1"/>
    <x:col min="6" max="6" width="20.25" hidden="0" customWidth="1"/>
    <x:col min="7" max="7" width="18.399999618530273" hidden="0" customWidth="1"/>
    <x:col min="8" max="8" width="36.20000076293945" hidden="0" customWidth="1"/>
    <x:col min="9" max="9" width="17.790000915527344" hidden="0" customWidth="1"/>
    <x:col min="10" max="10" width="19.6299991607666" hidden="0" customWidth="1"/>
    <x:col min="11" max="11" width="12.270000457763672" hidden="0" customWidth="1"/>
    <x:col min="12" max="12" width="11.65999984741211" hidden="0" customWidth="1"/>
    <x:col min="13" max="13" width="9.199999809265137" hidden="0" customWidth="1"/>
    <x:col min="14" max="14" width="21.469999313354492" hidden="0" customWidth="1"/>
    <x:col min="15" max="15" width="14.720000267028809" hidden="0" customWidth="1"/>
  </x:cols>
  <x:sheetData>
    <x:row r="1" ht="31.5" customHeight="1">
      <x:c r="A1" s="8" t="str">
        <x:v>Creative Experiment Backlog - Hooks, Formats, CTAs and Kill/Scale Rules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9" t="str"/>
      <x:c r="M1" s="9" t="str"/>
      <x:c r="N1" s="9" t="str"/>
      <x:c r="O1" s="10" t="str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ID</x:v>
      </x:c>
      <x:c r="B3" s="26" t="str">
        <x:v>Priority</x:v>
      </x:c>
      <x:c r="C3" s="26" t="str">
        <x:v>Pillar</x:v>
      </x:c>
      <x:c r="D3" s="26" t="str">
        <x:v>Platform</x:v>
      </x:c>
      <x:c r="E3" s="26" t="str">
        <x:v>Hook / Opening Line</x:v>
      </x:c>
      <x:c r="F3" s="26" t="str">
        <x:v>Format</x:v>
      </x:c>
      <x:c r="G3" s="26" t="str">
        <x:v>CTA</x:v>
      </x:c>
      <x:c r="H3" s="26" t="str">
        <x:v>Hypothesis</x:v>
      </x:c>
      <x:c r="I3" s="26" t="str">
        <x:v>Primary KPI</x:v>
      </x:c>
      <x:c r="J3" s="26" t="str">
        <x:v>Asset Needed</x:v>
      </x:c>
      <x:c r="K3" s="26" t="str">
        <x:v>Status</x:v>
      </x:c>
      <x:c r="L3" s="26" t="str">
        <x:v>Owner</x:v>
      </x:c>
      <x:c r="M3" s="26" t="str">
        <x:v>Launch Week</x:v>
      </x:c>
      <x:c r="N3" s="26" t="str">
        <x:v>Result Notes</x:v>
      </x:c>
      <x:c r="O3" s="27" t="str">
        <x:v>Action</x:v>
      </x:c>
    </x:row>
    <x:row r="4">
      <x:c r="A4" s="62" t="str">
        <x:v>E001</x:v>
      </x:c>
      <x:c r="B4" s="73" t="str">
        <x:v>P1</x:v>
      </x:c>
      <x:c r="C4" s="73" t="str">
        <x:v>Product Demo</x:v>
      </x:c>
      <x:c r="D4" s="73" t="str">
        <x:v>TikTok</x:v>
      </x:c>
      <x:c r="E4" s="73" t="str">
        <x:v>I built an app that annoys me until I do 20 pushups.</x:v>
      </x:c>
      <x:c r="F4" s="73" t="str">
        <x:v>Founder face-cam + screen recording</x:v>
      </x:c>
      <x:c r="G4" s="73" t="str">
        <x:v>Download beta</x:v>
      </x:c>
      <x:c r="H4" s="73" t="str">
        <x:v>Founder vulnerability plus visible app demo should beat polished launch copy.</x:v>
      </x:c>
      <x:c r="I4" s="73" t="str">
        <x:v>Install CTR</x:v>
      </x:c>
      <x:c r="J4" s="73" t="str">
        <x:v>Phone screen recording + pushup clip</x:v>
      </x:c>
      <x:c r="K4" s="73" t="str">
        <x:v>Ready</x:v>
      </x:c>
      <x:c r="L4" s="73" t="str">
        <x:v>Founder</x:v>
      </x:c>
      <x:c r="M4" s="73" t="n">
        <x:v>1</x:v>
      </x:c>
      <x:c r="N4" s="73" t="str"/>
      <x:c r="O4" s="63" t="str">
        <x:v>Test</x:v>
      </x:c>
    </x:row>
    <x:row r="5">
      <x:c r="A5" s="64" t="str">
        <x:v>E002</x:v>
      </x:c>
      <x:c r="B5" s="74" t="str">
        <x:v>P1</x:v>
      </x:c>
      <x:c r="C5" s="74" t="str">
        <x:v>Challenge</x:v>
      </x:c>
      <x:c r="D5" s="74" t="str">
        <x:v>TikTok/Reels</x:v>
      </x:c>
      <x:c r="E5" s="74" t="str">
        <x:v>Tag the friend who will quit before Day 3.</x:v>
      </x:c>
      <x:c r="F5" s="74" t="str">
        <x:v>Challenge prompt</x:v>
      </x:c>
      <x:c r="G5" s="74" t="str">
        <x:v>Tag a friend</x:v>
      </x:c>
      <x:c r="H5" s="74" t="str">
        <x:v>Mild social pressure should drive comments and friend loops.</x:v>
      </x:c>
      <x:c r="I5" s="74" t="str">
        <x:v>Comments per 1k views</x:v>
      </x:c>
      <x:c r="J5" s="74" t="str">
        <x:v>On-camera prompt + text overlay</x:v>
      </x:c>
      <x:c r="K5" s="74" t="str">
        <x:v>Ready</x:v>
      </x:c>
      <x:c r="L5" s="74" t="str">
        <x:v>Founder</x:v>
      </x:c>
      <x:c r="M5" s="74" t="n">
        <x:v>1</x:v>
      </x:c>
      <x:c r="N5" s="74" t="str"/>
      <x:c r="O5" s="65" t="str">
        <x:v>Test</x:v>
      </x:c>
    </x:row>
    <x:row r="6">
      <x:c r="A6" s="64" t="str">
        <x:v>E003</x:v>
      </x:c>
      <x:c r="B6" s="74" t="str">
        <x:v>P1</x:v>
      </x:c>
      <x:c r="C6" s="74" t="str">
        <x:v>Trust</x:v>
      </x:c>
      <x:c r="D6" s="74" t="str">
        <x:v>TikTok/Shorts</x:v>
      </x:c>
      <x:c r="E6" s="74" t="str">
        <x:v>It counts reps. It also knows when I cheat.</x:v>
      </x:c>
      <x:c r="F6" s="74" t="str">
        <x:v>Camera overlay demo</x:v>
      </x:c>
      <x:c r="G6" s="74" t="str">
        <x:v>Try clean reps</x:v>
      </x:c>
      <x:c r="H6" s="74" t="str">
        <x:v>Body tracking proof makes the app feel differentiated from generic fitness apps.</x:v>
      </x:c>
      <x:c r="I6" s="74" t="str">
        <x:v>Saves + install CTR</x:v>
      </x:c>
      <x:c r="J6" s="74" t="str">
        <x:v>Workout overlay capture</x:v>
      </x:c>
      <x:c r="K6" s="74" t="str">
        <x:v>Ready</x:v>
      </x:c>
      <x:c r="L6" s="74" t="str">
        <x:v>Founder</x:v>
      </x:c>
      <x:c r="M6" s="74" t="n">
        <x:v>1</x:v>
      </x:c>
      <x:c r="N6" s="74" t="str"/>
      <x:c r="O6" s="65" t="str">
        <x:v>Test</x:v>
      </x:c>
    </x:row>
    <x:row r="7">
      <x:c r="A7" s="64" t="str">
        <x:v>E004</x:v>
      </x:c>
      <x:c r="B7" s="74" t="str">
        <x:v>P1</x:v>
      </x:c>
      <x:c r="C7" s="74" t="str">
        <x:v>Proof Loop</x:v>
      </x:c>
      <x:c r="D7" s="74" t="str">
        <x:v>Reels</x:v>
      </x:c>
      <x:c r="E7" s="74" t="str">
        <x:v>Twenty pushups later, the app finally shut up.</x:v>
      </x:c>
      <x:c r="F7" s="74" t="str">
        <x:v>Before/after + proof card</x:v>
      </x:c>
      <x:c r="G7" s="74" t="str">
        <x:v>Post your receipt</x:v>
      </x:c>
      <x:c r="H7" s="74" t="str">
        <x:v>A visible completion receipt should drive story shares.</x:v>
      </x:c>
      <x:c r="I7" s="74" t="str">
        <x:v>Share-card opens</x:v>
      </x:c>
      <x:c r="J7" s="74" t="str">
        <x:v>Proof card screenshot</x:v>
      </x:c>
      <x:c r="K7" s="74" t="str">
        <x:v>Ready</x:v>
      </x:c>
      <x:c r="L7" s="74" t="str">
        <x:v>Founder</x:v>
      </x:c>
      <x:c r="M7" s="74" t="n">
        <x:v>1</x:v>
      </x:c>
      <x:c r="N7" s="74" t="str"/>
      <x:c r="O7" s="65" t="str">
        <x:v>Test</x:v>
      </x:c>
    </x:row>
    <x:row r="8">
      <x:c r="A8" s="64" t="str">
        <x:v>E005</x:v>
      </x:c>
      <x:c r="B8" s="74" t="str">
        <x:v>P1</x:v>
      </x:c>
      <x:c r="C8" s="74" t="str">
        <x:v>Humor</x:v>
      </x:c>
      <x:c r="D8" s="74" t="str">
        <x:v>TikTok</x:v>
      </x:c>
      <x:c r="E8" s="74" t="str">
        <x:v>POV: Just20 at 9pm.</x:v>
      </x:c>
      <x:c r="F8" s="74" t="str">
        <x:v>Notification skit</x:v>
      </x:c>
      <x:c r="G8" s="74" t="str">
        <x:v>Start before 9pm</x:v>
      </x:c>
      <x:c r="H8" s="74" t="str">
        <x:v>Mascot/notification humor should generate saves and comments.</x:v>
      </x:c>
      <x:c r="I8" s="74" t="str">
        <x:v>Saves per 1k views</x:v>
      </x:c>
      <x:c r="J8" s="74" t="str">
        <x:v>Notification mock + acting beat</x:v>
      </x:c>
      <x:c r="K8" s="74" t="str">
        <x:v>Ready</x:v>
      </x:c>
      <x:c r="L8" s="74" t="str">
        <x:v>Founder</x:v>
      </x:c>
      <x:c r="M8" s="74" t="n">
        <x:v>2</x:v>
      </x:c>
      <x:c r="N8" s="74" t="str"/>
      <x:c r="O8" s="65" t="str">
        <x:v>Test</x:v>
      </x:c>
    </x:row>
    <x:row r="9">
      <x:c r="A9" s="64" t="str">
        <x:v>E006</x:v>
      </x:c>
      <x:c r="B9" s="74" t="str">
        <x:v>P1</x:v>
      </x:c>
      <x:c r="C9" s="74" t="str">
        <x:v>Challenge</x:v>
      </x:c>
      <x:c r="D9" s="74" t="str">
        <x:v>Shorts</x:v>
      </x:c>
      <x:c r="E9" s="74" t="str">
        <x:v>Day 1 is easy. Day 4 is where excuses get loud.</x:v>
      </x:c>
      <x:c r="F9" s="74" t="str">
        <x:v>7-day challenge trailer</x:v>
      </x:c>
      <x:c r="G9" s="74" t="str">
        <x:v>Start Day 1</x:v>
      </x:c>
      <x:c r="H9" s="74" t="str">
        <x:v>Challenge framing should beat generic app demo for activation.</x:v>
      </x:c>
      <x:c r="I9" s="74" t="str">
        <x:v>First workouts per 1k views</x:v>
      </x:c>
      <x:c r="J9" s="74" t="str">
        <x:v>Countdown + floor shot</x:v>
      </x:c>
      <x:c r="K9" s="74" t="str">
        <x:v>Ready</x:v>
      </x:c>
      <x:c r="L9" s="74" t="str">
        <x:v>Founder</x:v>
      </x:c>
      <x:c r="M9" s="74" t="n">
        <x:v>2</x:v>
      </x:c>
      <x:c r="N9" s="74" t="str"/>
      <x:c r="O9" s="65" t="str">
        <x:v>Test</x:v>
      </x:c>
    </x:row>
    <x:row r="10">
      <x:c r="A10" s="64" t="str">
        <x:v>E007</x:v>
      </x:c>
      <x:c r="B10" s="74" t="str">
        <x:v>P2</x:v>
      </x:c>
      <x:c r="C10" s="74" t="str">
        <x:v>Social Proof</x:v>
      </x:c>
      <x:c r="D10" s="74" t="str">
        <x:v>Reels Stories</x:v>
      </x:c>
      <x:c r="E10" s="74" t="str">
        <x:v>People are posting pushup receipts now.</x:v>
      </x:c>
      <x:c r="F10" s="74" t="str">
        <x:v>UGC montage</x:v>
      </x:c>
      <x:c r="G10" s="74" t="str">
        <x:v>Post yours</x:v>
      </x:c>
      <x:c r="H10" s="74" t="str">
        <x:v>Social proof will improve conversion once receipts exist.</x:v>
      </x:c>
      <x:c r="I10" s="74" t="str">
        <x:v>Story mentions</x:v>
      </x:c>
      <x:c r="J10" s="74" t="str">
        <x:v>UGC receipt permissions</x:v>
      </x:c>
      <x:c r="K10" s="74" t="str">
        <x:v>Needs UGC</x:v>
      </x:c>
      <x:c r="L10" s="74" t="str">
        <x:v>Founder</x:v>
      </x:c>
      <x:c r="M10" s="74" t="n">
        <x:v>3</x:v>
      </x:c>
      <x:c r="N10" s="74" t="str"/>
      <x:c r="O10" s="65" t="str">
        <x:v>Hold</x:v>
      </x:c>
    </x:row>
    <x:row r="11">
      <x:c r="A11" s="64" t="str">
        <x:v>E008</x:v>
      </x:c>
      <x:c r="B11" s="74" t="str">
        <x:v>P1</x:v>
      </x:c>
      <x:c r="C11" s="74" t="str">
        <x:v>Creator</x:v>
      </x:c>
      <x:c r="D11" s="74" t="str">
        <x:v>TikTok/Reels</x:v>
      </x:c>
      <x:c r="E11" s="74" t="str">
        <x:v>Beat my 20 pushups in 43 seconds.</x:v>
      </x:c>
      <x:c r="F11" s="74" t="str">
        <x:v>Creator duel</x:v>
      </x:c>
      <x:c r="G11" s="74" t="str">
        <x:v>Beat my time</x:v>
      </x:c>
      <x:c r="H11" s="74" t="str">
        <x:v>Performance challenge makes creators more likely to participate.</x:v>
      </x:c>
      <x:c r="I11" s="74" t="str">
        <x:v>Challenge starts</x:v>
      </x:c>
      <x:c r="J11" s="74" t="str">
        <x:v>Creator clip + invite code</x:v>
      </x:c>
      <x:c r="K11" s="74" t="str">
        <x:v>Ready</x:v>
      </x:c>
      <x:c r="L11" s="74" t="str">
        <x:v>Growth</x:v>
      </x:c>
      <x:c r="M11" s="74" t="n">
        <x:v>4</x:v>
      </x:c>
      <x:c r="N11" s="74" t="str"/>
      <x:c r="O11" s="65" t="str">
        <x:v>Test</x:v>
      </x:c>
    </x:row>
    <x:row r="12">
      <x:c r="A12" s="64" t="str">
        <x:v>E009</x:v>
      </x:c>
      <x:c r="B12" s="74" t="str">
        <x:v>P2</x:v>
      </x:c>
      <x:c r="C12" s="74" t="str">
        <x:v>Trust</x:v>
      </x:c>
      <x:c r="D12" s="74" t="str">
        <x:v>TikTok</x:v>
      </x:c>
      <x:c r="E12" s="74" t="str">
        <x:v>The app lost me. Here is how calibration fixed it.</x:v>
      </x:c>
      <x:c r="F12" s="74" t="str">
        <x:v>Fail/recover demo</x:v>
      </x:c>
      <x:c r="G12" s="74" t="str">
        <x:v>Calibrate and start</x:v>
      </x:c>
      <x:c r="H12" s="74" t="str">
        <x:v>Showing recovery increases trust more than hiding failure.</x:v>
      </x:c>
      <x:c r="I12" s="74" t="str">
        <x:v>Comments sentiment</x:v>
      </x:c>
      <x:c r="J12" s="74" t="str">
        <x:v>Calibration clip</x:v>
      </x:c>
      <x:c r="K12" s="74" t="str">
        <x:v>Ready</x:v>
      </x:c>
      <x:c r="L12" s="74" t="str">
        <x:v>Founder</x:v>
      </x:c>
      <x:c r="M12" s="74" t="n">
        <x:v>5</x:v>
      </x:c>
      <x:c r="N12" s="74" t="str"/>
      <x:c r="O12" s="65" t="str">
        <x:v>Test</x:v>
      </x:c>
    </x:row>
    <x:row r="13">
      <x:c r="A13" s="64" t="str">
        <x:v>E010</x:v>
      </x:c>
      <x:c r="B13" s="74" t="str">
        <x:v>P2</x:v>
      </x:c>
      <x:c r="C13" s="74" t="str">
        <x:v>Rewards</x:v>
      </x:c>
      <x:c r="D13" s="74" t="str">
        <x:v>TikTok/Reels</x:v>
      </x:c>
      <x:c r="E13" s="74" t="str">
        <x:v>I earned coins for doing the pushups, not for buying XP.</x:v>
      </x:c>
      <x:c r="F13" s="74" t="str">
        <x:v>Coin shop reveal</x:v>
      </x:c>
      <x:c r="G13" s="74" t="str">
        <x:v>Earn coins today</x:v>
      </x:c>
      <x:c r="H13" s="74" t="str">
        <x:v>Earned-only economy reduces pay-to-win concerns and increases repeat usage.</x:v>
      </x:c>
      <x:c r="I13" s="74" t="str">
        <x:v>Return intent comments</x:v>
      </x:c>
      <x:c r="J13" s="74" t="str">
        <x:v>Shop screen capture</x:v>
      </x:c>
      <x:c r="K13" s="74" t="str">
        <x:v>Ready</x:v>
      </x:c>
      <x:c r="L13" s="74" t="str">
        <x:v>Founder</x:v>
      </x:c>
      <x:c r="M13" s="74" t="n">
        <x:v>7</x:v>
      </x:c>
      <x:c r="N13" s="74" t="str"/>
      <x:c r="O13" s="65" t="str">
        <x:v>Test</x:v>
      </x:c>
    </x:row>
    <x:row r="14">
      <x:c r="A14" s="64" t="str">
        <x:v>E011</x:v>
      </x:c>
      <x:c r="B14" s="74" t="str">
        <x:v>P2</x:v>
      </x:c>
      <x:c r="C14" s="74" t="str">
        <x:v>Groups</x:v>
      </x:c>
      <x:c r="D14" s="74" t="str">
        <x:v>TikTok</x:v>
      </x:c>
      <x:c r="E14" s="74" t="str">
        <x:v>Dorm vs dorm. Loser owes 20.</x:v>
      </x:c>
      <x:c r="F14" s="74" t="str">
        <x:v>Group challenge</x:v>
      </x:c>
      <x:c r="G14" s="74" t="str">
        <x:v>Start a squad</x:v>
      </x:c>
      <x:c r="H14" s="74" t="str">
        <x:v>Group identity should beat solo accountability for referrals.</x:v>
      </x:c>
      <x:c r="I14" s="74" t="str">
        <x:v>Invites per install</x:v>
      </x:c>
      <x:c r="J14" s="74" t="str">
        <x:v>Group clip + challenge code</x:v>
      </x:c>
      <x:c r="K14" s="74" t="str">
        <x:v>Needs partner</x:v>
      </x:c>
      <x:c r="L14" s="74" t="str">
        <x:v>Growth</x:v>
      </x:c>
      <x:c r="M14" s="74" t="n">
        <x:v>8</x:v>
      </x:c>
      <x:c r="N14" s="74" t="str"/>
      <x:c r="O14" s="65" t="str">
        <x:v>Hold</x:v>
      </x:c>
    </x:row>
    <x:row r="15">
      <x:c r="A15" s="66" t="str">
        <x:v>E012</x:v>
      </x:c>
      <x:c r="B15" s="75" t="str">
        <x:v>P2</x:v>
      </x:c>
      <x:c r="C15" s="75" t="str">
        <x:v>Sponsor</x:v>
      </x:c>
      <x:c r="D15" s="75" t="str">
        <x:v>Reels/TikTok</x:v>
      </x:c>
      <x:c r="E15" s="75" t="str">
        <x:v>Complete 7 days and unlock the local gym reward.</x:v>
      </x:c>
      <x:c r="F15" s="75" t="str">
        <x:v>Sponsor challenge prototype</x:v>
      </x:c>
      <x:c r="G15" s="75" t="str">
        <x:v>Join sponsored challenge</x:v>
      </x:c>
      <x:c r="H15" s="75" t="str">
        <x:v>Small local rewards validate sponsor loops before national scale.</x:v>
      </x:c>
      <x:c r="I15" s="75" t="str">
        <x:v>Challenge joins</x:v>
      </x:c>
      <x:c r="J15" s="75" t="str">
        <x:v>Sponsor mock asset</x:v>
      </x:c>
      <x:c r="K15" s="75" t="str">
        <x:v>Needs sponsor</x:v>
      </x:c>
      <x:c r="L15" s="75" t="str">
        <x:v>Growth</x:v>
      </x:c>
      <x:c r="M15" s="75" t="n">
        <x:v>10</x:v>
      </x:c>
      <x:c r="N15" s="75" t="str"/>
      <x:c r="O15" s="67" t="str">
        <x:v>Hold</x:v>
      </x:c>
    </x:row>
  </x:sheetData>
  <x:dataValidations count="3">
    <x:dataValidation type="list" allowBlank="0" showDropDown="0" sqref="B4:B15">
      <x:formula1>"P1,P2,P3"</x:formula1>
    </x:dataValidation>
    <x:dataValidation type="list" allowBlank="0" showDropDown="0" sqref="K4:K15">
      <x:formula1>"Idea,Ready,Needs UGC,Needs partner,Testing,Measured,Cut"</x:formula1>
    </x:dataValidation>
    <x:dataValidation type="list" allowBlank="0" showDropDown="0" sqref="O4:O15">
      <x:formula1>"Test,Scale,Cut,Hold,Rework"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70000457763672" hidden="0" customWidth="1"/>
    <x:col min="2" max="2" width="7.360000133514404" hidden="0" customWidth="1"/>
    <x:col min="3" max="3" width="13.5" hidden="0" customWidth="1"/>
    <x:col min="4" max="4" width="21.469999313354492" hidden="0" customWidth="1"/>
    <x:col min="5" max="5" width="30.059999465942383" hidden="0" customWidth="1"/>
    <x:col min="6" max="6" width="15.34000015258789" hidden="0" customWidth="1"/>
    <x:col min="7" max="7" width="17.18000030517578" hidden="0" customWidth="1"/>
    <x:col min="8" max="8" width="17.790000915527344" hidden="0" customWidth="1"/>
    <x:col min="9" max="9" width="10.180000305175781" hidden="0" customWidth="1"/>
    <x:col min="10" max="10" width="12.270000457763672" hidden="0" customWidth="1"/>
    <x:col min="11" max="11" width="10.670000076293945" hidden="0" customWidth="1"/>
    <x:col min="12" max="12" width="10.670000076293945" hidden="0" customWidth="1"/>
    <x:col min="13" max="13" width="8.220000267028809" hidden="0" customWidth="1"/>
    <x:col min="14" max="14" width="9.449999809265137" hidden="0" customWidth="1"/>
    <x:col min="15" max="15" width="9.449999809265137" hidden="0" customWidth="1"/>
    <x:col min="16" max="16" width="9.449999809265137" hidden="0" customWidth="1"/>
    <x:col min="17" max="17" width="12.270000457763672" hidden="0" customWidth="1"/>
    <x:col min="18" max="18" width="11.039999961853027" hidden="0" customWidth="1"/>
    <x:col min="19" max="19" width="11.039999961853027" hidden="0" customWidth="1"/>
    <x:col min="20" max="20" width="12.270000457763672" hidden="0" customWidth="1"/>
    <x:col min="21" max="21" width="12.270000457763672" hidden="0" customWidth="1"/>
    <x:col min="22" max="22" width="10.430000305175781" hidden="0" customWidth="1"/>
    <x:col min="23" max="23" width="10.430000305175781" hidden="0" customWidth="1"/>
    <x:col min="24" max="24" width="13.5" hidden="0" customWidth="1"/>
    <x:col min="25" max="25" width="12.880000114440918" hidden="0" customWidth="1"/>
  </x:cols>
  <x:sheetData>
    <x:row r="1" ht="31.5" customHeight="1">
      <x:c r="A1" s="8" t="str">
        <x:v>Creative Scorecard - Measure Downloads, Activation and Share Loops by Asset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9" t="str"/>
      <x:c r="M1" s="9" t="str"/>
      <x:c r="N1" s="9" t="str"/>
      <x:c r="O1" s="9" t="str"/>
      <x:c r="P1" s="9" t="str"/>
      <x:c r="Q1" s="9" t="str"/>
      <x:c r="R1" s="9" t="str"/>
      <x:c r="S1" s="9" t="str"/>
      <x:c r="T1" s="9" t="str"/>
      <x:c r="U1" s="9" t="str"/>
      <x:c r="V1" s="9" t="str"/>
      <x:c r="W1" s="9" t="str"/>
      <x:c r="X1" s="9" t="str"/>
      <x:c r="Y1" s="10" t="str"/>
      <x:c r="Z1" s="2"/>
    </x:row>
    <x:row r="3" ht="22.5" customHeight="1">
      <x:c r="A3" s="25" t="str">
        <x:v>Post Date</x:v>
      </x:c>
      <x:c r="B3" s="26" t="str">
        <x:v>Week</x:v>
      </x:c>
      <x:c r="C3" s="26" t="str">
        <x:v>Platform</x:v>
      </x:c>
      <x:c r="D3" s="26" t="str">
        <x:v>Video URL / ID</x:v>
      </x:c>
      <x:c r="E3" s="26" t="str">
        <x:v>Hook</x:v>
      </x:c>
      <x:c r="F3" s="26" t="str">
        <x:v>Pillar</x:v>
      </x:c>
      <x:c r="G3" s="26" t="str">
        <x:v>Format</x:v>
      </x:c>
      <x:c r="H3" s="26" t="str">
        <x:v>CTA</x:v>
      </x:c>
      <x:c r="I3" s="26" t="str">
        <x:v>Views</x:v>
      </x:c>
      <x:c r="J3" s="26" t="str">
        <x:v>Engaged Views</x:v>
      </x:c>
      <x:c r="K3" s="26" t="str">
        <x:v>3s Hold %</x:v>
      </x:c>
      <x:c r="L3" s="26" t="str">
        <x:v>Avg View %</x:v>
      </x:c>
      <x:c r="M3" s="26" t="str">
        <x:v>Likes</x:v>
      </x:c>
      <x:c r="N3" s="26" t="str">
        <x:v>Comments</x:v>
      </x:c>
      <x:c r="O3" s="26" t="str">
        <x:v>Shares</x:v>
      </x:c>
      <x:c r="P3" s="26" t="str">
        <x:v>Saves</x:v>
      </x:c>
      <x:c r="Q3" s="26" t="str">
        <x:v>Profile Visits</x:v>
      </x:c>
      <x:c r="R3" s="26" t="str">
        <x:v>Link Clicks</x:v>
      </x:c>
      <x:c r="S3" s="26" t="str">
        <x:v>Installs</x:v>
      </x:c>
      <x:c r="T3" s="26" t="str">
        <x:v>First Workouts</x:v>
      </x:c>
      <x:c r="U3" s="26" t="str">
        <x:v>Proof Shares</x:v>
      </x:c>
      <x:c r="V3" s="26" t="str">
        <x:v>Spend</x:v>
      </x:c>
      <x:c r="W3" s="26" t="str">
        <x:v>CPI</x:v>
      </x:c>
      <x:c r="X3" s="26" t="str">
        <x:v>Activation Rate</x:v>
      </x:c>
      <x:c r="Y3" s="27" t="str">
        <x:v>Verdict</x:v>
      </x:c>
    </x:row>
    <x:row r="4">
      <x:c r="A4" s="82" t="str"/>
      <x:c r="B4" s="73" t="str"/>
      <x:c r="C4" s="73" t="str"/>
      <x:c r="D4" s="73" t="str"/>
      <x:c r="E4" s="73" t="str"/>
      <x:c r="F4" s="73" t="str"/>
      <x:c r="G4" s="73" t="str"/>
      <x:c r="H4" s="73" t="str"/>
      <x:c r="I4" s="79" t="str"/>
      <x:c r="J4" s="79" t="str"/>
      <x:c r="K4" s="85" t="str"/>
      <x:c r="L4" s="85" t="str"/>
      <x:c r="M4" s="79" t="str"/>
      <x:c r="N4" s="79" t="str"/>
      <x:c r="O4" s="79" t="str"/>
      <x:c r="P4" s="79" t="str"/>
      <x:c r="Q4" s="79" t="str"/>
      <x:c r="R4" s="79" t="str"/>
      <x:c r="S4" s="79" t="str"/>
      <x:c r="T4" s="79" t="str"/>
      <x:c r="U4" s="79" t="str"/>
      <x:c r="V4" s="88" t="str"/>
      <x:c r="W4" s="88" t="str">
        <x:f>IF(S4=0,"",V4/S4)</x:f>
      </x:c>
      <x:c r="X4" s="85" t="str">
        <x:f>IF(S4=0,"",T4/S4)</x:f>
      </x:c>
      <x:c r="Y4" s="63" t="str">
        <x:v>Planned</x:v>
      </x:c>
    </x:row>
    <x:row r="5">
      <x:c r="A5" s="83" t="str"/>
      <x:c r="B5" s="74" t="str"/>
      <x:c r="C5" s="74" t="str"/>
      <x:c r="D5" s="74" t="str"/>
      <x:c r="E5" s="74" t="str"/>
      <x:c r="F5" s="74" t="str"/>
      <x:c r="G5" s="74" t="str"/>
      <x:c r="H5" s="74" t="str"/>
      <x:c r="I5" s="80" t="str"/>
      <x:c r="J5" s="80" t="str"/>
      <x:c r="K5" s="86" t="str"/>
      <x:c r="L5" s="86" t="str"/>
      <x:c r="M5" s="80" t="str"/>
      <x:c r="N5" s="80" t="str"/>
      <x:c r="O5" s="80" t="str"/>
      <x:c r="P5" s="80" t="str"/>
      <x:c r="Q5" s="80" t="str"/>
      <x:c r="R5" s="80" t="str"/>
      <x:c r="S5" s="80" t="str"/>
      <x:c r="T5" s="80" t="str"/>
      <x:c r="U5" s="80" t="str"/>
      <x:c r="V5" s="89" t="str"/>
      <x:c r="W5" s="89" t="str">
        <x:f>IF(S5=0,"",V5/S5)</x:f>
      </x:c>
      <x:c r="X5" s="86" t="str">
        <x:f>IF(S5=0,"",T5/S5)</x:f>
      </x:c>
      <x:c r="Y5" s="65" t="str">
        <x:v>Planned</x:v>
      </x:c>
    </x:row>
    <x:row r="6">
      <x:c r="A6" s="83" t="str"/>
      <x:c r="B6" s="74" t="str"/>
      <x:c r="C6" s="74" t="str"/>
      <x:c r="D6" s="74" t="str"/>
      <x:c r="E6" s="74" t="str"/>
      <x:c r="F6" s="74" t="str"/>
      <x:c r="G6" s="74" t="str"/>
      <x:c r="H6" s="74" t="str"/>
      <x:c r="I6" s="80" t="str"/>
      <x:c r="J6" s="80" t="str"/>
      <x:c r="K6" s="86" t="str"/>
      <x:c r="L6" s="86" t="str"/>
      <x:c r="M6" s="80" t="str"/>
      <x:c r="N6" s="80" t="str"/>
      <x:c r="O6" s="80" t="str"/>
      <x:c r="P6" s="80" t="str"/>
      <x:c r="Q6" s="80" t="str"/>
      <x:c r="R6" s="80" t="str"/>
      <x:c r="S6" s="80" t="str"/>
      <x:c r="T6" s="80" t="str"/>
      <x:c r="U6" s="80" t="str"/>
      <x:c r="V6" s="89" t="str"/>
      <x:c r="W6" s="89" t="str">
        <x:f>IF(S6=0,"",V6/S6)</x:f>
      </x:c>
      <x:c r="X6" s="86" t="str">
        <x:f>IF(S6=0,"",T6/S6)</x:f>
      </x:c>
      <x:c r="Y6" s="65" t="str">
        <x:v>Planned</x:v>
      </x:c>
    </x:row>
    <x:row r="7">
      <x:c r="A7" s="83" t="str"/>
      <x:c r="B7" s="74" t="str"/>
      <x:c r="C7" s="74" t="str"/>
      <x:c r="D7" s="74" t="str"/>
      <x:c r="E7" s="74" t="str"/>
      <x:c r="F7" s="74" t="str"/>
      <x:c r="G7" s="74" t="str"/>
      <x:c r="H7" s="74" t="str"/>
      <x:c r="I7" s="80" t="str"/>
      <x:c r="J7" s="80" t="str"/>
      <x:c r="K7" s="86" t="str"/>
      <x:c r="L7" s="86" t="str"/>
      <x:c r="M7" s="80" t="str"/>
      <x:c r="N7" s="80" t="str"/>
      <x:c r="O7" s="80" t="str"/>
      <x:c r="P7" s="80" t="str"/>
      <x:c r="Q7" s="80" t="str"/>
      <x:c r="R7" s="80" t="str"/>
      <x:c r="S7" s="80" t="str"/>
      <x:c r="T7" s="80" t="str"/>
      <x:c r="U7" s="80" t="str"/>
      <x:c r="V7" s="89" t="str"/>
      <x:c r="W7" s="89" t="str">
        <x:f>IF(S7=0,"",V7/S7)</x:f>
      </x:c>
      <x:c r="X7" s="86" t="str">
        <x:f>IF(S7=0,"",T7/S7)</x:f>
      </x:c>
      <x:c r="Y7" s="65" t="str">
        <x:v>Planned</x:v>
      </x:c>
    </x:row>
    <x:row r="8">
      <x:c r="A8" s="83" t="str"/>
      <x:c r="B8" s="74" t="str"/>
      <x:c r="C8" s="74" t="str"/>
      <x:c r="D8" s="74" t="str"/>
      <x:c r="E8" s="74" t="str"/>
      <x:c r="F8" s="74" t="str"/>
      <x:c r="G8" s="74" t="str"/>
      <x:c r="H8" s="74" t="str"/>
      <x:c r="I8" s="80" t="str"/>
      <x:c r="J8" s="80" t="str"/>
      <x:c r="K8" s="86" t="str"/>
      <x:c r="L8" s="86" t="str"/>
      <x:c r="M8" s="80" t="str"/>
      <x:c r="N8" s="80" t="str"/>
      <x:c r="O8" s="80" t="str"/>
      <x:c r="P8" s="80" t="str"/>
      <x:c r="Q8" s="80" t="str"/>
      <x:c r="R8" s="80" t="str"/>
      <x:c r="S8" s="80" t="str"/>
      <x:c r="T8" s="80" t="str"/>
      <x:c r="U8" s="80" t="str"/>
      <x:c r="V8" s="89" t="str"/>
      <x:c r="W8" s="89" t="str">
        <x:f>IF(S8=0,"",V8/S8)</x:f>
      </x:c>
      <x:c r="X8" s="86" t="str">
        <x:f>IF(S8=0,"",T8/S8)</x:f>
      </x:c>
      <x:c r="Y8" s="65" t="str">
        <x:v>Planned</x:v>
      </x:c>
    </x:row>
    <x:row r="9">
      <x:c r="A9" s="83" t="str"/>
      <x:c r="B9" s="74" t="str"/>
      <x:c r="C9" s="74" t="str"/>
      <x:c r="D9" s="74" t="str"/>
      <x:c r="E9" s="74" t="str"/>
      <x:c r="F9" s="74" t="str"/>
      <x:c r="G9" s="74" t="str"/>
      <x:c r="H9" s="74" t="str"/>
      <x:c r="I9" s="80" t="str"/>
      <x:c r="J9" s="80" t="str"/>
      <x:c r="K9" s="86" t="str"/>
      <x:c r="L9" s="86" t="str"/>
      <x:c r="M9" s="80" t="str"/>
      <x:c r="N9" s="80" t="str"/>
      <x:c r="O9" s="80" t="str"/>
      <x:c r="P9" s="80" t="str"/>
      <x:c r="Q9" s="80" t="str"/>
      <x:c r="R9" s="80" t="str"/>
      <x:c r="S9" s="80" t="str"/>
      <x:c r="T9" s="80" t="str"/>
      <x:c r="U9" s="80" t="str"/>
      <x:c r="V9" s="89" t="str"/>
      <x:c r="W9" s="89" t="str">
        <x:f>IF(S9=0,"",V9/S9)</x:f>
      </x:c>
      <x:c r="X9" s="86" t="str">
        <x:f>IF(S9=0,"",T9/S9)</x:f>
      </x:c>
      <x:c r="Y9" s="65" t="str">
        <x:v>Planned</x:v>
      </x:c>
    </x:row>
    <x:row r="10">
      <x:c r="A10" s="83" t="str"/>
      <x:c r="B10" s="74" t="str"/>
      <x:c r="C10" s="74" t="str"/>
      <x:c r="D10" s="74" t="str"/>
      <x:c r="E10" s="74" t="str"/>
      <x:c r="F10" s="74" t="str"/>
      <x:c r="G10" s="74" t="str"/>
      <x:c r="H10" s="74" t="str"/>
      <x:c r="I10" s="80" t="str"/>
      <x:c r="J10" s="80" t="str"/>
      <x:c r="K10" s="86" t="str"/>
      <x:c r="L10" s="86" t="str"/>
      <x:c r="M10" s="80" t="str"/>
      <x:c r="N10" s="80" t="str"/>
      <x:c r="O10" s="80" t="str"/>
      <x:c r="P10" s="80" t="str"/>
      <x:c r="Q10" s="80" t="str"/>
      <x:c r="R10" s="80" t="str"/>
      <x:c r="S10" s="80" t="str"/>
      <x:c r="T10" s="80" t="str"/>
      <x:c r="U10" s="80" t="str"/>
      <x:c r="V10" s="89" t="str"/>
      <x:c r="W10" s="89" t="str">
        <x:f>IF(S10=0,"",V10/S10)</x:f>
      </x:c>
      <x:c r="X10" s="86" t="str">
        <x:f>IF(S10=0,"",T10/S10)</x:f>
      </x:c>
      <x:c r="Y10" s="65" t="str">
        <x:v>Planned</x:v>
      </x:c>
    </x:row>
    <x:row r="11">
      <x:c r="A11" s="83" t="str"/>
      <x:c r="B11" s="74" t="str"/>
      <x:c r="C11" s="74" t="str"/>
      <x:c r="D11" s="74" t="str"/>
      <x:c r="E11" s="74" t="str"/>
      <x:c r="F11" s="74" t="str"/>
      <x:c r="G11" s="74" t="str"/>
      <x:c r="H11" s="74" t="str"/>
      <x:c r="I11" s="80" t="str"/>
      <x:c r="J11" s="80" t="str"/>
      <x:c r="K11" s="86" t="str"/>
      <x:c r="L11" s="86" t="str"/>
      <x:c r="M11" s="80" t="str"/>
      <x:c r="N11" s="80" t="str"/>
      <x:c r="O11" s="80" t="str"/>
      <x:c r="P11" s="80" t="str"/>
      <x:c r="Q11" s="80" t="str"/>
      <x:c r="R11" s="80" t="str"/>
      <x:c r="S11" s="80" t="str"/>
      <x:c r="T11" s="80" t="str"/>
      <x:c r="U11" s="80" t="str"/>
      <x:c r="V11" s="89" t="str"/>
      <x:c r="W11" s="89" t="str">
        <x:f>IF(S11=0,"",V11/S11)</x:f>
      </x:c>
      <x:c r="X11" s="86" t="str">
        <x:f>IF(S11=0,"",T11/S11)</x:f>
      </x:c>
      <x:c r="Y11" s="65" t="str">
        <x:v>Planned</x:v>
      </x:c>
    </x:row>
    <x:row r="12">
      <x:c r="A12" s="83" t="str"/>
      <x:c r="B12" s="74" t="str"/>
      <x:c r="C12" s="74" t="str"/>
      <x:c r="D12" s="74" t="str"/>
      <x:c r="E12" s="74" t="str"/>
      <x:c r="F12" s="74" t="str"/>
      <x:c r="G12" s="74" t="str"/>
      <x:c r="H12" s="74" t="str"/>
      <x:c r="I12" s="80" t="str"/>
      <x:c r="J12" s="80" t="str"/>
      <x:c r="K12" s="86" t="str"/>
      <x:c r="L12" s="86" t="str"/>
      <x:c r="M12" s="80" t="str"/>
      <x:c r="N12" s="80" t="str"/>
      <x:c r="O12" s="80" t="str"/>
      <x:c r="P12" s="80" t="str"/>
      <x:c r="Q12" s="80" t="str"/>
      <x:c r="R12" s="80" t="str"/>
      <x:c r="S12" s="80" t="str"/>
      <x:c r="T12" s="80" t="str"/>
      <x:c r="U12" s="80" t="str"/>
      <x:c r="V12" s="89" t="str"/>
      <x:c r="W12" s="89" t="str">
        <x:f>IF(S12=0,"",V12/S12)</x:f>
      </x:c>
      <x:c r="X12" s="86" t="str">
        <x:f>IF(S12=0,"",T12/S12)</x:f>
      </x:c>
      <x:c r="Y12" s="65" t="str">
        <x:v>Planned</x:v>
      </x:c>
    </x:row>
    <x:row r="13">
      <x:c r="A13" s="83" t="str"/>
      <x:c r="B13" s="74" t="str"/>
      <x:c r="C13" s="74" t="str"/>
      <x:c r="D13" s="74" t="str"/>
      <x:c r="E13" s="74" t="str"/>
      <x:c r="F13" s="74" t="str"/>
      <x:c r="G13" s="74" t="str"/>
      <x:c r="H13" s="74" t="str"/>
      <x:c r="I13" s="80" t="str"/>
      <x:c r="J13" s="80" t="str"/>
      <x:c r="K13" s="86" t="str"/>
      <x:c r="L13" s="86" t="str"/>
      <x:c r="M13" s="80" t="str"/>
      <x:c r="N13" s="80" t="str"/>
      <x:c r="O13" s="80" t="str"/>
      <x:c r="P13" s="80" t="str"/>
      <x:c r="Q13" s="80" t="str"/>
      <x:c r="R13" s="80" t="str"/>
      <x:c r="S13" s="80" t="str"/>
      <x:c r="T13" s="80" t="str"/>
      <x:c r="U13" s="80" t="str"/>
      <x:c r="V13" s="89" t="str"/>
      <x:c r="W13" s="89" t="str">
        <x:f>IF(S13=0,"",V13/S13)</x:f>
      </x:c>
      <x:c r="X13" s="86" t="str">
        <x:f>IF(S13=0,"",T13/S13)</x:f>
      </x:c>
      <x:c r="Y13" s="65" t="str">
        <x:v>Planned</x:v>
      </x:c>
    </x:row>
    <x:row r="14">
      <x:c r="A14" s="83" t="str"/>
      <x:c r="B14" s="74" t="str"/>
      <x:c r="C14" s="74" t="str"/>
      <x:c r="D14" s="74" t="str"/>
      <x:c r="E14" s="74" t="str"/>
      <x:c r="F14" s="74" t="str"/>
      <x:c r="G14" s="74" t="str"/>
      <x:c r="H14" s="74" t="str"/>
      <x:c r="I14" s="80" t="str"/>
      <x:c r="J14" s="80" t="str"/>
      <x:c r="K14" s="86" t="str"/>
      <x:c r="L14" s="86" t="str"/>
      <x:c r="M14" s="80" t="str"/>
      <x:c r="N14" s="80" t="str"/>
      <x:c r="O14" s="80" t="str"/>
      <x:c r="P14" s="80" t="str"/>
      <x:c r="Q14" s="80" t="str"/>
      <x:c r="R14" s="80" t="str"/>
      <x:c r="S14" s="80" t="str"/>
      <x:c r="T14" s="80" t="str"/>
      <x:c r="U14" s="80" t="str"/>
      <x:c r="V14" s="89" t="str"/>
      <x:c r="W14" s="89" t="str">
        <x:f>IF(S14=0,"",V14/S14)</x:f>
      </x:c>
      <x:c r="X14" s="86" t="str">
        <x:f>IF(S14=0,"",T14/S14)</x:f>
      </x:c>
      <x:c r="Y14" s="65" t="str">
        <x:v>Planned</x:v>
      </x:c>
    </x:row>
    <x:row r="15">
      <x:c r="A15" s="83" t="str"/>
      <x:c r="B15" s="74" t="str"/>
      <x:c r="C15" s="74" t="str"/>
      <x:c r="D15" s="74" t="str"/>
      <x:c r="E15" s="74" t="str"/>
      <x:c r="F15" s="74" t="str"/>
      <x:c r="G15" s="74" t="str"/>
      <x:c r="H15" s="74" t="str"/>
      <x:c r="I15" s="80" t="str"/>
      <x:c r="J15" s="80" t="str"/>
      <x:c r="K15" s="86" t="str"/>
      <x:c r="L15" s="86" t="str"/>
      <x:c r="M15" s="80" t="str"/>
      <x:c r="N15" s="80" t="str"/>
      <x:c r="O15" s="80" t="str"/>
      <x:c r="P15" s="80" t="str"/>
      <x:c r="Q15" s="80" t="str"/>
      <x:c r="R15" s="80" t="str"/>
      <x:c r="S15" s="80" t="str"/>
      <x:c r="T15" s="80" t="str"/>
      <x:c r="U15" s="80" t="str"/>
      <x:c r="V15" s="89" t="str"/>
      <x:c r="W15" s="89" t="str">
        <x:f>IF(S15=0,"",V15/S15)</x:f>
      </x:c>
      <x:c r="X15" s="86" t="str">
        <x:f>IF(S15=0,"",T15/S15)</x:f>
      </x:c>
      <x:c r="Y15" s="65" t="str">
        <x:v>Planned</x:v>
      </x:c>
    </x:row>
    <x:row r="16">
      <x:c r="A16" s="83" t="str"/>
      <x:c r="B16" s="74" t="str"/>
      <x:c r="C16" s="74" t="str"/>
      <x:c r="D16" s="74" t="str"/>
      <x:c r="E16" s="74" t="str"/>
      <x:c r="F16" s="74" t="str"/>
      <x:c r="G16" s="74" t="str"/>
      <x:c r="H16" s="74" t="str"/>
      <x:c r="I16" s="80" t="str"/>
      <x:c r="J16" s="80" t="str"/>
      <x:c r="K16" s="86" t="str"/>
      <x:c r="L16" s="86" t="str"/>
      <x:c r="M16" s="80" t="str"/>
      <x:c r="N16" s="80" t="str"/>
      <x:c r="O16" s="80" t="str"/>
      <x:c r="P16" s="80" t="str"/>
      <x:c r="Q16" s="80" t="str"/>
      <x:c r="R16" s="80" t="str"/>
      <x:c r="S16" s="80" t="str"/>
      <x:c r="T16" s="80" t="str"/>
      <x:c r="U16" s="80" t="str"/>
      <x:c r="V16" s="89" t="str"/>
      <x:c r="W16" s="89" t="str">
        <x:f>IF(S16=0,"",V16/S16)</x:f>
      </x:c>
      <x:c r="X16" s="86" t="str">
        <x:f>IF(S16=0,"",T16/S16)</x:f>
      </x:c>
      <x:c r="Y16" s="65" t="str">
        <x:v>Planned</x:v>
      </x:c>
    </x:row>
    <x:row r="17">
      <x:c r="A17" s="83" t="str"/>
      <x:c r="B17" s="74" t="str"/>
      <x:c r="C17" s="74" t="str"/>
      <x:c r="D17" s="74" t="str"/>
      <x:c r="E17" s="74" t="str"/>
      <x:c r="F17" s="74" t="str"/>
      <x:c r="G17" s="74" t="str"/>
      <x:c r="H17" s="74" t="str"/>
      <x:c r="I17" s="80" t="str"/>
      <x:c r="J17" s="80" t="str"/>
      <x:c r="K17" s="86" t="str"/>
      <x:c r="L17" s="86" t="str"/>
      <x:c r="M17" s="80" t="str"/>
      <x:c r="N17" s="80" t="str"/>
      <x:c r="O17" s="80" t="str"/>
      <x:c r="P17" s="80" t="str"/>
      <x:c r="Q17" s="80" t="str"/>
      <x:c r="R17" s="80" t="str"/>
      <x:c r="S17" s="80" t="str"/>
      <x:c r="T17" s="80" t="str"/>
      <x:c r="U17" s="80" t="str"/>
      <x:c r="V17" s="89" t="str"/>
      <x:c r="W17" s="89" t="str">
        <x:f>IF(S17=0,"",V17/S17)</x:f>
      </x:c>
      <x:c r="X17" s="86" t="str">
        <x:f>IF(S17=0,"",T17/S17)</x:f>
      </x:c>
      <x:c r="Y17" s="65" t="str">
        <x:v>Planned</x:v>
      </x:c>
    </x:row>
    <x:row r="18">
      <x:c r="A18" s="83" t="str"/>
      <x:c r="B18" s="74" t="str"/>
      <x:c r="C18" s="74" t="str"/>
      <x:c r="D18" s="74" t="str"/>
      <x:c r="E18" s="74" t="str"/>
      <x:c r="F18" s="74" t="str"/>
      <x:c r="G18" s="74" t="str"/>
      <x:c r="H18" s="74" t="str"/>
      <x:c r="I18" s="80" t="str"/>
      <x:c r="J18" s="80" t="str"/>
      <x:c r="K18" s="86" t="str"/>
      <x:c r="L18" s="86" t="str"/>
      <x:c r="M18" s="80" t="str"/>
      <x:c r="N18" s="80" t="str"/>
      <x:c r="O18" s="80" t="str"/>
      <x:c r="P18" s="80" t="str"/>
      <x:c r="Q18" s="80" t="str"/>
      <x:c r="R18" s="80" t="str"/>
      <x:c r="S18" s="80" t="str"/>
      <x:c r="T18" s="80" t="str"/>
      <x:c r="U18" s="80" t="str"/>
      <x:c r="V18" s="89" t="str"/>
      <x:c r="W18" s="89" t="str">
        <x:f>IF(S18=0,"",V18/S18)</x:f>
      </x:c>
      <x:c r="X18" s="86" t="str">
        <x:f>IF(S18=0,"",T18/S18)</x:f>
      </x:c>
      <x:c r="Y18" s="65" t="str">
        <x:v>Planned</x:v>
      </x:c>
    </x:row>
    <x:row r="19">
      <x:c r="A19" s="83" t="str"/>
      <x:c r="B19" s="74" t="str"/>
      <x:c r="C19" s="74" t="str"/>
      <x:c r="D19" s="74" t="str"/>
      <x:c r="E19" s="74" t="str"/>
      <x:c r="F19" s="74" t="str"/>
      <x:c r="G19" s="74" t="str"/>
      <x:c r="H19" s="74" t="str"/>
      <x:c r="I19" s="80" t="str"/>
      <x:c r="J19" s="80" t="str"/>
      <x:c r="K19" s="86" t="str"/>
      <x:c r="L19" s="86" t="str"/>
      <x:c r="M19" s="80" t="str"/>
      <x:c r="N19" s="80" t="str"/>
      <x:c r="O19" s="80" t="str"/>
      <x:c r="P19" s="80" t="str"/>
      <x:c r="Q19" s="80" t="str"/>
      <x:c r="R19" s="80" t="str"/>
      <x:c r="S19" s="80" t="str"/>
      <x:c r="T19" s="80" t="str"/>
      <x:c r="U19" s="80" t="str"/>
      <x:c r="V19" s="89" t="str"/>
      <x:c r="W19" s="89" t="str">
        <x:f>IF(S19=0,"",V19/S19)</x:f>
      </x:c>
      <x:c r="X19" s="86" t="str">
        <x:f>IF(S19=0,"",T19/S19)</x:f>
      </x:c>
      <x:c r="Y19" s="65" t="str">
        <x:v>Planned</x:v>
      </x:c>
    </x:row>
    <x:row r="20">
      <x:c r="A20" s="83" t="str"/>
      <x:c r="B20" s="74" t="str"/>
      <x:c r="C20" s="74" t="str"/>
      <x:c r="D20" s="74" t="str"/>
      <x:c r="E20" s="74" t="str"/>
      <x:c r="F20" s="74" t="str"/>
      <x:c r="G20" s="74" t="str"/>
      <x:c r="H20" s="74" t="str"/>
      <x:c r="I20" s="80" t="str"/>
      <x:c r="J20" s="80" t="str"/>
      <x:c r="K20" s="86" t="str"/>
      <x:c r="L20" s="86" t="str"/>
      <x:c r="M20" s="80" t="str"/>
      <x:c r="N20" s="80" t="str"/>
      <x:c r="O20" s="80" t="str"/>
      <x:c r="P20" s="80" t="str"/>
      <x:c r="Q20" s="80" t="str"/>
      <x:c r="R20" s="80" t="str"/>
      <x:c r="S20" s="80" t="str"/>
      <x:c r="T20" s="80" t="str"/>
      <x:c r="U20" s="80" t="str"/>
      <x:c r="V20" s="89" t="str"/>
      <x:c r="W20" s="89" t="str">
        <x:f>IF(S20=0,"",V20/S20)</x:f>
      </x:c>
      <x:c r="X20" s="86" t="str">
        <x:f>IF(S20=0,"",T20/S20)</x:f>
      </x:c>
      <x:c r="Y20" s="65" t="str">
        <x:v>Planned</x:v>
      </x:c>
    </x:row>
    <x:row r="21">
      <x:c r="A21" s="83" t="str"/>
      <x:c r="B21" s="74" t="str"/>
      <x:c r="C21" s="74" t="str"/>
      <x:c r="D21" s="74" t="str"/>
      <x:c r="E21" s="74" t="str"/>
      <x:c r="F21" s="74" t="str"/>
      <x:c r="G21" s="74" t="str"/>
      <x:c r="H21" s="74" t="str"/>
      <x:c r="I21" s="80" t="str"/>
      <x:c r="J21" s="80" t="str"/>
      <x:c r="K21" s="86" t="str"/>
      <x:c r="L21" s="86" t="str"/>
      <x:c r="M21" s="80" t="str"/>
      <x:c r="N21" s="80" t="str"/>
      <x:c r="O21" s="80" t="str"/>
      <x:c r="P21" s="80" t="str"/>
      <x:c r="Q21" s="80" t="str"/>
      <x:c r="R21" s="80" t="str"/>
      <x:c r="S21" s="80" t="str"/>
      <x:c r="T21" s="80" t="str"/>
      <x:c r="U21" s="80" t="str"/>
      <x:c r="V21" s="89" t="str"/>
      <x:c r="W21" s="89" t="str">
        <x:f>IF(S21=0,"",V21/S21)</x:f>
      </x:c>
      <x:c r="X21" s="86" t="str">
        <x:f>IF(S21=0,"",T21/S21)</x:f>
      </x:c>
      <x:c r="Y21" s="65" t="str">
        <x:v>Planned</x:v>
      </x:c>
    </x:row>
    <x:row r="22">
      <x:c r="A22" s="83" t="str"/>
      <x:c r="B22" s="74" t="str"/>
      <x:c r="C22" s="74" t="str"/>
      <x:c r="D22" s="74" t="str"/>
      <x:c r="E22" s="74" t="str"/>
      <x:c r="F22" s="74" t="str"/>
      <x:c r="G22" s="74" t="str"/>
      <x:c r="H22" s="74" t="str"/>
      <x:c r="I22" s="80" t="str"/>
      <x:c r="J22" s="80" t="str"/>
      <x:c r="K22" s="86" t="str"/>
      <x:c r="L22" s="86" t="str"/>
      <x:c r="M22" s="80" t="str"/>
      <x:c r="N22" s="80" t="str"/>
      <x:c r="O22" s="80" t="str"/>
      <x:c r="P22" s="80" t="str"/>
      <x:c r="Q22" s="80" t="str"/>
      <x:c r="R22" s="80" t="str"/>
      <x:c r="S22" s="80" t="str"/>
      <x:c r="T22" s="80" t="str"/>
      <x:c r="U22" s="80" t="str"/>
      <x:c r="V22" s="89" t="str"/>
      <x:c r="W22" s="89" t="str">
        <x:f>IF(S22=0,"",V22/S22)</x:f>
      </x:c>
      <x:c r="X22" s="86" t="str">
        <x:f>IF(S22=0,"",T22/S22)</x:f>
      </x:c>
      <x:c r="Y22" s="65" t="str">
        <x:v>Planned</x:v>
      </x:c>
    </x:row>
    <x:row r="23">
      <x:c r="A23" s="83" t="str"/>
      <x:c r="B23" s="74" t="str"/>
      <x:c r="C23" s="74" t="str"/>
      <x:c r="D23" s="74" t="str"/>
      <x:c r="E23" s="74" t="str"/>
      <x:c r="F23" s="74" t="str"/>
      <x:c r="G23" s="74" t="str"/>
      <x:c r="H23" s="74" t="str"/>
      <x:c r="I23" s="80" t="str"/>
      <x:c r="J23" s="80" t="str"/>
      <x:c r="K23" s="86" t="str"/>
      <x:c r="L23" s="86" t="str"/>
      <x:c r="M23" s="80" t="str"/>
      <x:c r="N23" s="80" t="str"/>
      <x:c r="O23" s="80" t="str"/>
      <x:c r="P23" s="80" t="str"/>
      <x:c r="Q23" s="80" t="str"/>
      <x:c r="R23" s="80" t="str"/>
      <x:c r="S23" s="80" t="str"/>
      <x:c r="T23" s="80" t="str"/>
      <x:c r="U23" s="80" t="str"/>
      <x:c r="V23" s="89" t="str"/>
      <x:c r="W23" s="89" t="str">
        <x:f>IF(S23=0,"",V23/S23)</x:f>
      </x:c>
      <x:c r="X23" s="86" t="str">
        <x:f>IF(S23=0,"",T23/S23)</x:f>
      </x:c>
      <x:c r="Y23" s="65" t="str">
        <x:v>Planned</x:v>
      </x:c>
    </x:row>
    <x:row r="24">
      <x:c r="A24" s="83" t="str"/>
      <x:c r="B24" s="74" t="str"/>
      <x:c r="C24" s="74" t="str"/>
      <x:c r="D24" s="74" t="str"/>
      <x:c r="E24" s="74" t="str"/>
      <x:c r="F24" s="74" t="str"/>
      <x:c r="G24" s="74" t="str"/>
      <x:c r="H24" s="74" t="str"/>
      <x:c r="I24" s="80" t="str"/>
      <x:c r="J24" s="80" t="str"/>
      <x:c r="K24" s="86" t="str"/>
      <x:c r="L24" s="86" t="str"/>
      <x:c r="M24" s="80" t="str"/>
      <x:c r="N24" s="80" t="str"/>
      <x:c r="O24" s="80" t="str"/>
      <x:c r="P24" s="80" t="str"/>
      <x:c r="Q24" s="80" t="str"/>
      <x:c r="R24" s="80" t="str"/>
      <x:c r="S24" s="80" t="str"/>
      <x:c r="T24" s="80" t="str"/>
      <x:c r="U24" s="80" t="str"/>
      <x:c r="V24" s="89" t="str"/>
      <x:c r="W24" s="89" t="str">
        <x:f>IF(S24=0,"",V24/S24)</x:f>
      </x:c>
      <x:c r="X24" s="86" t="str">
        <x:f>IF(S24=0,"",T24/S24)</x:f>
      </x:c>
      <x:c r="Y24" s="65" t="str">
        <x:v>Planned</x:v>
      </x:c>
    </x:row>
    <x:row r="25">
      <x:c r="A25" s="83" t="str"/>
      <x:c r="B25" s="74" t="str"/>
      <x:c r="C25" s="74" t="str"/>
      <x:c r="D25" s="74" t="str"/>
      <x:c r="E25" s="74" t="str"/>
      <x:c r="F25" s="74" t="str"/>
      <x:c r="G25" s="74" t="str"/>
      <x:c r="H25" s="74" t="str"/>
      <x:c r="I25" s="80" t="str"/>
      <x:c r="J25" s="80" t="str"/>
      <x:c r="K25" s="86" t="str"/>
      <x:c r="L25" s="86" t="str"/>
      <x:c r="M25" s="80" t="str"/>
      <x:c r="N25" s="80" t="str"/>
      <x:c r="O25" s="80" t="str"/>
      <x:c r="P25" s="80" t="str"/>
      <x:c r="Q25" s="80" t="str"/>
      <x:c r="R25" s="80" t="str"/>
      <x:c r="S25" s="80" t="str"/>
      <x:c r="T25" s="80" t="str"/>
      <x:c r="U25" s="80" t="str"/>
      <x:c r="V25" s="89" t="str"/>
      <x:c r="W25" s="89" t="str">
        <x:f>IF(S25=0,"",V25/S25)</x:f>
      </x:c>
      <x:c r="X25" s="86" t="str">
        <x:f>IF(S25=0,"",T25/S25)</x:f>
      </x:c>
      <x:c r="Y25" s="65" t="str">
        <x:v>Planned</x:v>
      </x:c>
    </x:row>
    <x:row r="26">
      <x:c r="A26" s="83" t="str"/>
      <x:c r="B26" s="74" t="str"/>
      <x:c r="C26" s="74" t="str"/>
      <x:c r="D26" s="74" t="str"/>
      <x:c r="E26" s="74" t="str"/>
      <x:c r="F26" s="74" t="str"/>
      <x:c r="G26" s="74" t="str"/>
      <x:c r="H26" s="74" t="str"/>
      <x:c r="I26" s="80" t="str"/>
      <x:c r="J26" s="80" t="str"/>
      <x:c r="K26" s="86" t="str"/>
      <x:c r="L26" s="86" t="str"/>
      <x:c r="M26" s="80" t="str"/>
      <x:c r="N26" s="80" t="str"/>
      <x:c r="O26" s="80" t="str"/>
      <x:c r="P26" s="80" t="str"/>
      <x:c r="Q26" s="80" t="str"/>
      <x:c r="R26" s="80" t="str"/>
      <x:c r="S26" s="80" t="str"/>
      <x:c r="T26" s="80" t="str"/>
      <x:c r="U26" s="80" t="str"/>
      <x:c r="V26" s="89" t="str"/>
      <x:c r="W26" s="89" t="str">
        <x:f>IF(S26=0,"",V26/S26)</x:f>
      </x:c>
      <x:c r="X26" s="86" t="str">
        <x:f>IF(S26=0,"",T26/S26)</x:f>
      </x:c>
      <x:c r="Y26" s="65" t="str">
        <x:v>Planned</x:v>
      </x:c>
    </x:row>
    <x:row r="27">
      <x:c r="A27" s="83" t="str"/>
      <x:c r="B27" s="74" t="str"/>
      <x:c r="C27" s="74" t="str"/>
      <x:c r="D27" s="74" t="str"/>
      <x:c r="E27" s="74" t="str"/>
      <x:c r="F27" s="74" t="str"/>
      <x:c r="G27" s="74" t="str"/>
      <x:c r="H27" s="74" t="str"/>
      <x:c r="I27" s="80" t="str"/>
      <x:c r="J27" s="80" t="str"/>
      <x:c r="K27" s="86" t="str"/>
      <x:c r="L27" s="86" t="str"/>
      <x:c r="M27" s="80" t="str"/>
      <x:c r="N27" s="80" t="str"/>
      <x:c r="O27" s="80" t="str"/>
      <x:c r="P27" s="80" t="str"/>
      <x:c r="Q27" s="80" t="str"/>
      <x:c r="R27" s="80" t="str"/>
      <x:c r="S27" s="80" t="str"/>
      <x:c r="T27" s="80" t="str"/>
      <x:c r="U27" s="80" t="str"/>
      <x:c r="V27" s="89" t="str"/>
      <x:c r="W27" s="89" t="str">
        <x:f>IF(S27=0,"",V27/S27)</x:f>
      </x:c>
      <x:c r="X27" s="86" t="str">
        <x:f>IF(S27=0,"",T27/S27)</x:f>
      </x:c>
      <x:c r="Y27" s="65" t="str">
        <x:v>Planned</x:v>
      </x:c>
    </x:row>
    <x:row r="28">
      <x:c r="A28" s="83" t="str"/>
      <x:c r="B28" s="74" t="str"/>
      <x:c r="C28" s="74" t="str"/>
      <x:c r="D28" s="74" t="str"/>
      <x:c r="E28" s="74" t="str"/>
      <x:c r="F28" s="74" t="str"/>
      <x:c r="G28" s="74" t="str"/>
      <x:c r="H28" s="74" t="str"/>
      <x:c r="I28" s="80" t="str"/>
      <x:c r="J28" s="80" t="str"/>
      <x:c r="K28" s="86" t="str"/>
      <x:c r="L28" s="86" t="str"/>
      <x:c r="M28" s="80" t="str"/>
      <x:c r="N28" s="80" t="str"/>
      <x:c r="O28" s="80" t="str"/>
      <x:c r="P28" s="80" t="str"/>
      <x:c r="Q28" s="80" t="str"/>
      <x:c r="R28" s="80" t="str"/>
      <x:c r="S28" s="80" t="str"/>
      <x:c r="T28" s="80" t="str"/>
      <x:c r="U28" s="80" t="str"/>
      <x:c r="V28" s="89" t="str"/>
      <x:c r="W28" s="89" t="str">
        <x:f>IF(S28=0,"",V28/S28)</x:f>
      </x:c>
      <x:c r="X28" s="86" t="str">
        <x:f>IF(S28=0,"",T28/S28)</x:f>
      </x:c>
      <x:c r="Y28" s="65" t="str">
        <x:v>Planned</x:v>
      </x:c>
    </x:row>
    <x:row r="29">
      <x:c r="A29" s="83" t="str"/>
      <x:c r="B29" s="74" t="str"/>
      <x:c r="C29" s="74" t="str"/>
      <x:c r="D29" s="74" t="str"/>
      <x:c r="E29" s="74" t="str"/>
      <x:c r="F29" s="74" t="str"/>
      <x:c r="G29" s="74" t="str"/>
      <x:c r="H29" s="74" t="str"/>
      <x:c r="I29" s="80" t="str"/>
      <x:c r="J29" s="80" t="str"/>
      <x:c r="K29" s="86" t="str"/>
      <x:c r="L29" s="86" t="str"/>
      <x:c r="M29" s="80" t="str"/>
      <x:c r="N29" s="80" t="str"/>
      <x:c r="O29" s="80" t="str"/>
      <x:c r="P29" s="80" t="str"/>
      <x:c r="Q29" s="80" t="str"/>
      <x:c r="R29" s="80" t="str"/>
      <x:c r="S29" s="80" t="str"/>
      <x:c r="T29" s="80" t="str"/>
      <x:c r="U29" s="80" t="str"/>
      <x:c r="V29" s="89" t="str"/>
      <x:c r="W29" s="89" t="str">
        <x:f>IF(S29=0,"",V29/S29)</x:f>
      </x:c>
      <x:c r="X29" s="86" t="str">
        <x:f>IF(S29=0,"",T29/S29)</x:f>
      </x:c>
      <x:c r="Y29" s="65" t="str">
        <x:v>Planned</x:v>
      </x:c>
    </x:row>
    <x:row r="30">
      <x:c r="A30" s="83" t="str"/>
      <x:c r="B30" s="74" t="str"/>
      <x:c r="C30" s="74" t="str"/>
      <x:c r="D30" s="74" t="str"/>
      <x:c r="E30" s="74" t="str"/>
      <x:c r="F30" s="74" t="str"/>
      <x:c r="G30" s="74" t="str"/>
      <x:c r="H30" s="74" t="str"/>
      <x:c r="I30" s="80" t="str"/>
      <x:c r="J30" s="80" t="str"/>
      <x:c r="K30" s="86" t="str"/>
      <x:c r="L30" s="86" t="str"/>
      <x:c r="M30" s="80" t="str"/>
      <x:c r="N30" s="80" t="str"/>
      <x:c r="O30" s="80" t="str"/>
      <x:c r="P30" s="80" t="str"/>
      <x:c r="Q30" s="80" t="str"/>
      <x:c r="R30" s="80" t="str"/>
      <x:c r="S30" s="80" t="str"/>
      <x:c r="T30" s="80" t="str"/>
      <x:c r="U30" s="80" t="str"/>
      <x:c r="V30" s="89" t="str"/>
      <x:c r="W30" s="89" t="str">
        <x:f>IF(S30=0,"",V30/S30)</x:f>
      </x:c>
      <x:c r="X30" s="86" t="str">
        <x:f>IF(S30=0,"",T30/S30)</x:f>
      </x:c>
      <x:c r="Y30" s="65" t="str">
        <x:v>Planned</x:v>
      </x:c>
    </x:row>
    <x:row r="31">
      <x:c r="A31" s="83" t="str"/>
      <x:c r="B31" s="74" t="str"/>
      <x:c r="C31" s="74" t="str"/>
      <x:c r="D31" s="74" t="str"/>
      <x:c r="E31" s="74" t="str"/>
      <x:c r="F31" s="74" t="str"/>
      <x:c r="G31" s="74" t="str"/>
      <x:c r="H31" s="74" t="str"/>
      <x:c r="I31" s="80" t="str"/>
      <x:c r="J31" s="80" t="str"/>
      <x:c r="K31" s="86" t="str"/>
      <x:c r="L31" s="86" t="str"/>
      <x:c r="M31" s="80" t="str"/>
      <x:c r="N31" s="80" t="str"/>
      <x:c r="O31" s="80" t="str"/>
      <x:c r="P31" s="80" t="str"/>
      <x:c r="Q31" s="80" t="str"/>
      <x:c r="R31" s="80" t="str"/>
      <x:c r="S31" s="80" t="str"/>
      <x:c r="T31" s="80" t="str"/>
      <x:c r="U31" s="80" t="str"/>
      <x:c r="V31" s="89" t="str"/>
      <x:c r="W31" s="89" t="str">
        <x:f>IF(S31=0,"",V31/S31)</x:f>
      </x:c>
      <x:c r="X31" s="86" t="str">
        <x:f>IF(S31=0,"",T31/S31)</x:f>
      </x:c>
      <x:c r="Y31" s="65" t="str">
        <x:v>Planned</x:v>
      </x:c>
    </x:row>
    <x:row r="32">
      <x:c r="A32" s="83" t="str"/>
      <x:c r="B32" s="74" t="str"/>
      <x:c r="C32" s="74" t="str"/>
      <x:c r="D32" s="74" t="str"/>
      <x:c r="E32" s="74" t="str"/>
      <x:c r="F32" s="74" t="str"/>
      <x:c r="G32" s="74" t="str"/>
      <x:c r="H32" s="74" t="str"/>
      <x:c r="I32" s="80" t="str"/>
      <x:c r="J32" s="80" t="str"/>
      <x:c r="K32" s="86" t="str"/>
      <x:c r="L32" s="86" t="str"/>
      <x:c r="M32" s="80" t="str"/>
      <x:c r="N32" s="80" t="str"/>
      <x:c r="O32" s="80" t="str"/>
      <x:c r="P32" s="80" t="str"/>
      <x:c r="Q32" s="80" t="str"/>
      <x:c r="R32" s="80" t="str"/>
      <x:c r="S32" s="80" t="str"/>
      <x:c r="T32" s="80" t="str"/>
      <x:c r="U32" s="80" t="str"/>
      <x:c r="V32" s="89" t="str"/>
      <x:c r="W32" s="89" t="str">
        <x:f>IF(S32=0,"",V32/S32)</x:f>
      </x:c>
      <x:c r="X32" s="86" t="str">
        <x:f>IF(S32=0,"",T32/S32)</x:f>
      </x:c>
      <x:c r="Y32" s="65" t="str">
        <x:v>Planned</x:v>
      </x:c>
    </x:row>
    <x:row r="33">
      <x:c r="A33" s="83" t="str"/>
      <x:c r="B33" s="74" t="str"/>
      <x:c r="C33" s="74" t="str"/>
      <x:c r="D33" s="74" t="str"/>
      <x:c r="E33" s="74" t="str"/>
      <x:c r="F33" s="74" t="str"/>
      <x:c r="G33" s="74" t="str"/>
      <x:c r="H33" s="74" t="str"/>
      <x:c r="I33" s="80" t="str"/>
      <x:c r="J33" s="80" t="str"/>
      <x:c r="K33" s="86" t="str"/>
      <x:c r="L33" s="86" t="str"/>
      <x:c r="M33" s="80" t="str"/>
      <x:c r="N33" s="80" t="str"/>
      <x:c r="O33" s="80" t="str"/>
      <x:c r="P33" s="80" t="str"/>
      <x:c r="Q33" s="80" t="str"/>
      <x:c r="R33" s="80" t="str"/>
      <x:c r="S33" s="80" t="str"/>
      <x:c r="T33" s="80" t="str"/>
      <x:c r="U33" s="80" t="str"/>
      <x:c r="V33" s="89" t="str"/>
      <x:c r="W33" s="89" t="str">
        <x:f>IF(S33=0,"",V33/S33)</x:f>
      </x:c>
      <x:c r="X33" s="86" t="str">
        <x:f>IF(S33=0,"",T33/S33)</x:f>
      </x:c>
      <x:c r="Y33" s="65" t="str">
        <x:v>Planned</x:v>
      </x:c>
    </x:row>
    <x:row r="34">
      <x:c r="A34" s="83" t="str"/>
      <x:c r="B34" s="74" t="str"/>
      <x:c r="C34" s="74" t="str"/>
      <x:c r="D34" s="74" t="str"/>
      <x:c r="E34" s="74" t="str"/>
      <x:c r="F34" s="74" t="str"/>
      <x:c r="G34" s="74" t="str"/>
      <x:c r="H34" s="74" t="str"/>
      <x:c r="I34" s="80" t="str"/>
      <x:c r="J34" s="80" t="str"/>
      <x:c r="K34" s="86" t="str"/>
      <x:c r="L34" s="86" t="str"/>
      <x:c r="M34" s="80" t="str"/>
      <x:c r="N34" s="80" t="str"/>
      <x:c r="O34" s="80" t="str"/>
      <x:c r="P34" s="80" t="str"/>
      <x:c r="Q34" s="80" t="str"/>
      <x:c r="R34" s="80" t="str"/>
      <x:c r="S34" s="80" t="str"/>
      <x:c r="T34" s="80" t="str"/>
      <x:c r="U34" s="80" t="str"/>
      <x:c r="V34" s="89" t="str"/>
      <x:c r="W34" s="89" t="str">
        <x:f>IF(S34=0,"",V34/S34)</x:f>
      </x:c>
      <x:c r="X34" s="86" t="str">
        <x:f>IF(S34=0,"",T34/S34)</x:f>
      </x:c>
      <x:c r="Y34" s="65" t="str">
        <x:v>Planned</x:v>
      </x:c>
    </x:row>
    <x:row r="35">
      <x:c r="A35" s="83" t="str"/>
      <x:c r="B35" s="74" t="str"/>
      <x:c r="C35" s="74" t="str"/>
      <x:c r="D35" s="74" t="str"/>
      <x:c r="E35" s="74" t="str"/>
      <x:c r="F35" s="74" t="str"/>
      <x:c r="G35" s="74" t="str"/>
      <x:c r="H35" s="74" t="str"/>
      <x:c r="I35" s="80" t="str"/>
      <x:c r="J35" s="80" t="str"/>
      <x:c r="K35" s="86" t="str"/>
      <x:c r="L35" s="86" t="str"/>
      <x:c r="M35" s="80" t="str"/>
      <x:c r="N35" s="80" t="str"/>
      <x:c r="O35" s="80" t="str"/>
      <x:c r="P35" s="80" t="str"/>
      <x:c r="Q35" s="80" t="str"/>
      <x:c r="R35" s="80" t="str"/>
      <x:c r="S35" s="80" t="str"/>
      <x:c r="T35" s="80" t="str"/>
      <x:c r="U35" s="80" t="str"/>
      <x:c r="V35" s="89" t="str"/>
      <x:c r="W35" s="89" t="str">
        <x:f>IF(S35=0,"",V35/S35)</x:f>
      </x:c>
      <x:c r="X35" s="86" t="str">
        <x:f>IF(S35=0,"",T35/S35)</x:f>
      </x:c>
      <x:c r="Y35" s="65" t="str">
        <x:v>Planned</x:v>
      </x:c>
    </x:row>
    <x:row r="36">
      <x:c r="A36" s="83" t="str"/>
      <x:c r="B36" s="74" t="str"/>
      <x:c r="C36" s="74" t="str"/>
      <x:c r="D36" s="74" t="str"/>
      <x:c r="E36" s="74" t="str"/>
      <x:c r="F36" s="74" t="str"/>
      <x:c r="G36" s="74" t="str"/>
      <x:c r="H36" s="74" t="str"/>
      <x:c r="I36" s="80" t="str"/>
      <x:c r="J36" s="80" t="str"/>
      <x:c r="K36" s="86" t="str"/>
      <x:c r="L36" s="86" t="str"/>
      <x:c r="M36" s="80" t="str"/>
      <x:c r="N36" s="80" t="str"/>
      <x:c r="O36" s="80" t="str"/>
      <x:c r="P36" s="80" t="str"/>
      <x:c r="Q36" s="80" t="str"/>
      <x:c r="R36" s="80" t="str"/>
      <x:c r="S36" s="80" t="str"/>
      <x:c r="T36" s="80" t="str"/>
      <x:c r="U36" s="80" t="str"/>
      <x:c r="V36" s="89" t="str"/>
      <x:c r="W36" s="89" t="str">
        <x:f>IF(S36=0,"",V36/S36)</x:f>
      </x:c>
      <x:c r="X36" s="86" t="str">
        <x:f>IF(S36=0,"",T36/S36)</x:f>
      </x:c>
      <x:c r="Y36" s="65" t="str">
        <x:v>Planned</x:v>
      </x:c>
    </x:row>
    <x:row r="37">
      <x:c r="A37" s="83" t="str"/>
      <x:c r="B37" s="74" t="str"/>
      <x:c r="C37" s="74" t="str"/>
      <x:c r="D37" s="74" t="str"/>
      <x:c r="E37" s="74" t="str"/>
      <x:c r="F37" s="74" t="str"/>
      <x:c r="G37" s="74" t="str"/>
      <x:c r="H37" s="74" t="str"/>
      <x:c r="I37" s="80" t="str"/>
      <x:c r="J37" s="80" t="str"/>
      <x:c r="K37" s="86" t="str"/>
      <x:c r="L37" s="86" t="str"/>
      <x:c r="M37" s="80" t="str"/>
      <x:c r="N37" s="80" t="str"/>
      <x:c r="O37" s="80" t="str"/>
      <x:c r="P37" s="80" t="str"/>
      <x:c r="Q37" s="80" t="str"/>
      <x:c r="R37" s="80" t="str"/>
      <x:c r="S37" s="80" t="str"/>
      <x:c r="T37" s="80" t="str"/>
      <x:c r="U37" s="80" t="str"/>
      <x:c r="V37" s="89" t="str"/>
      <x:c r="W37" s="89" t="str">
        <x:f>IF(S37=0,"",V37/S37)</x:f>
      </x:c>
      <x:c r="X37" s="86" t="str">
        <x:f>IF(S37=0,"",T37/S37)</x:f>
      </x:c>
      <x:c r="Y37" s="65" t="str">
        <x:v>Planned</x:v>
      </x:c>
    </x:row>
    <x:row r="38">
      <x:c r="A38" s="83" t="str"/>
      <x:c r="B38" s="74" t="str"/>
      <x:c r="C38" s="74" t="str"/>
      <x:c r="D38" s="74" t="str"/>
      <x:c r="E38" s="74" t="str"/>
      <x:c r="F38" s="74" t="str"/>
      <x:c r="G38" s="74" t="str"/>
      <x:c r="H38" s="74" t="str"/>
      <x:c r="I38" s="80" t="str"/>
      <x:c r="J38" s="80" t="str"/>
      <x:c r="K38" s="86" t="str"/>
      <x:c r="L38" s="86" t="str"/>
      <x:c r="M38" s="80" t="str"/>
      <x:c r="N38" s="80" t="str"/>
      <x:c r="O38" s="80" t="str"/>
      <x:c r="P38" s="80" t="str"/>
      <x:c r="Q38" s="80" t="str"/>
      <x:c r="R38" s="80" t="str"/>
      <x:c r="S38" s="80" t="str"/>
      <x:c r="T38" s="80" t="str"/>
      <x:c r="U38" s="80" t="str"/>
      <x:c r="V38" s="89" t="str"/>
      <x:c r="W38" s="89" t="str">
        <x:f>IF(S38=0,"",V38/S38)</x:f>
      </x:c>
      <x:c r="X38" s="86" t="str">
        <x:f>IF(S38=0,"",T38/S38)</x:f>
      </x:c>
      <x:c r="Y38" s="65" t="str">
        <x:v>Planned</x:v>
      </x:c>
    </x:row>
    <x:row r="39">
      <x:c r="A39" s="83" t="str"/>
      <x:c r="B39" s="74" t="str"/>
      <x:c r="C39" s="74" t="str"/>
      <x:c r="D39" s="74" t="str"/>
      <x:c r="E39" s="74" t="str"/>
      <x:c r="F39" s="74" t="str"/>
      <x:c r="G39" s="74" t="str"/>
      <x:c r="H39" s="74" t="str"/>
      <x:c r="I39" s="80" t="str"/>
      <x:c r="J39" s="80" t="str"/>
      <x:c r="K39" s="86" t="str"/>
      <x:c r="L39" s="86" t="str"/>
      <x:c r="M39" s="80" t="str"/>
      <x:c r="N39" s="80" t="str"/>
      <x:c r="O39" s="80" t="str"/>
      <x:c r="P39" s="80" t="str"/>
      <x:c r="Q39" s="80" t="str"/>
      <x:c r="R39" s="80" t="str"/>
      <x:c r="S39" s="80" t="str"/>
      <x:c r="T39" s="80" t="str"/>
      <x:c r="U39" s="80" t="str"/>
      <x:c r="V39" s="89" t="str"/>
      <x:c r="W39" s="89" t="str">
        <x:f>IF(S39=0,"",V39/S39)</x:f>
      </x:c>
      <x:c r="X39" s="86" t="str">
        <x:f>IF(S39=0,"",T39/S39)</x:f>
      </x:c>
      <x:c r="Y39" s="65" t="str">
        <x:v>Planned</x:v>
      </x:c>
    </x:row>
    <x:row r="40">
      <x:c r="A40" s="83" t="str"/>
      <x:c r="B40" s="74" t="str"/>
      <x:c r="C40" s="74" t="str"/>
      <x:c r="D40" s="74" t="str"/>
      <x:c r="E40" s="74" t="str"/>
      <x:c r="F40" s="74" t="str"/>
      <x:c r="G40" s="74" t="str"/>
      <x:c r="H40" s="74" t="str"/>
      <x:c r="I40" s="80" t="str"/>
      <x:c r="J40" s="80" t="str"/>
      <x:c r="K40" s="86" t="str"/>
      <x:c r="L40" s="86" t="str"/>
      <x:c r="M40" s="80" t="str"/>
      <x:c r="N40" s="80" t="str"/>
      <x:c r="O40" s="80" t="str"/>
      <x:c r="P40" s="80" t="str"/>
      <x:c r="Q40" s="80" t="str"/>
      <x:c r="R40" s="80" t="str"/>
      <x:c r="S40" s="80" t="str"/>
      <x:c r="T40" s="80" t="str"/>
      <x:c r="U40" s="80" t="str"/>
      <x:c r="V40" s="89" t="str"/>
      <x:c r="W40" s="89" t="str">
        <x:f>IF(S40=0,"",V40/S40)</x:f>
      </x:c>
      <x:c r="X40" s="86" t="str">
        <x:f>IF(S40=0,"",T40/S40)</x:f>
      </x:c>
      <x:c r="Y40" s="65" t="str">
        <x:v>Planned</x:v>
      </x:c>
    </x:row>
    <x:row r="41">
      <x:c r="A41" s="83" t="str"/>
      <x:c r="B41" s="74" t="str"/>
      <x:c r="C41" s="74" t="str"/>
      <x:c r="D41" s="74" t="str"/>
      <x:c r="E41" s="74" t="str"/>
      <x:c r="F41" s="74" t="str"/>
      <x:c r="G41" s="74" t="str"/>
      <x:c r="H41" s="74" t="str"/>
      <x:c r="I41" s="80" t="str"/>
      <x:c r="J41" s="80" t="str"/>
      <x:c r="K41" s="86" t="str"/>
      <x:c r="L41" s="86" t="str"/>
      <x:c r="M41" s="80" t="str"/>
      <x:c r="N41" s="80" t="str"/>
      <x:c r="O41" s="80" t="str"/>
      <x:c r="P41" s="80" t="str"/>
      <x:c r="Q41" s="80" t="str"/>
      <x:c r="R41" s="80" t="str"/>
      <x:c r="S41" s="80" t="str"/>
      <x:c r="T41" s="80" t="str"/>
      <x:c r="U41" s="80" t="str"/>
      <x:c r="V41" s="89" t="str"/>
      <x:c r="W41" s="89" t="str">
        <x:f>IF(S41=0,"",V41/S41)</x:f>
      </x:c>
      <x:c r="X41" s="86" t="str">
        <x:f>IF(S41=0,"",T41/S41)</x:f>
      </x:c>
      <x:c r="Y41" s="65" t="str">
        <x:v>Planned</x:v>
      </x:c>
    </x:row>
    <x:row r="42">
      <x:c r="A42" s="83" t="str"/>
      <x:c r="B42" s="74" t="str"/>
      <x:c r="C42" s="74" t="str"/>
      <x:c r="D42" s="74" t="str"/>
      <x:c r="E42" s="74" t="str"/>
      <x:c r="F42" s="74" t="str"/>
      <x:c r="G42" s="74" t="str"/>
      <x:c r="H42" s="74" t="str"/>
      <x:c r="I42" s="80" t="str"/>
      <x:c r="J42" s="80" t="str"/>
      <x:c r="K42" s="86" t="str"/>
      <x:c r="L42" s="86" t="str"/>
      <x:c r="M42" s="80" t="str"/>
      <x:c r="N42" s="80" t="str"/>
      <x:c r="O42" s="80" t="str"/>
      <x:c r="P42" s="80" t="str"/>
      <x:c r="Q42" s="80" t="str"/>
      <x:c r="R42" s="80" t="str"/>
      <x:c r="S42" s="80" t="str"/>
      <x:c r="T42" s="80" t="str"/>
      <x:c r="U42" s="80" t="str"/>
      <x:c r="V42" s="89" t="str"/>
      <x:c r="W42" s="89" t="str">
        <x:f>IF(S42=0,"",V42/S42)</x:f>
      </x:c>
      <x:c r="X42" s="86" t="str">
        <x:f>IF(S42=0,"",T42/S42)</x:f>
      </x:c>
      <x:c r="Y42" s="65" t="str">
        <x:v>Planned</x:v>
      </x:c>
    </x:row>
    <x:row r="43">
      <x:c r="A43" s="84" t="str"/>
      <x:c r="B43" s="75" t="str"/>
      <x:c r="C43" s="75" t="str"/>
      <x:c r="D43" s="75" t="str"/>
      <x:c r="E43" s="75" t="str"/>
      <x:c r="F43" s="75" t="str"/>
      <x:c r="G43" s="75" t="str"/>
      <x:c r="H43" s="75" t="str"/>
      <x:c r="I43" s="81" t="str"/>
      <x:c r="J43" s="81" t="str"/>
      <x:c r="K43" s="87" t="str"/>
      <x:c r="L43" s="87" t="str"/>
      <x:c r="M43" s="81" t="str"/>
      <x:c r="N43" s="81" t="str"/>
      <x:c r="O43" s="81" t="str"/>
      <x:c r="P43" s="81" t="str"/>
      <x:c r="Q43" s="81" t="str"/>
      <x:c r="R43" s="81" t="str"/>
      <x:c r="S43" s="81" t="str"/>
      <x:c r="T43" s="81" t="str"/>
      <x:c r="U43" s="81" t="str"/>
      <x:c r="V43" s="90" t="str"/>
      <x:c r="W43" s="90" t="str">
        <x:f>IF(S43=0,"",V43/S43)</x:f>
      </x:c>
      <x:c r="X43" s="87" t="str">
        <x:f>IF(S43=0,"",T43/S43)</x:f>
      </x:c>
      <x:c r="Y43" s="67" t="str">
        <x:v>Planned</x:v>
      </x:c>
    </x:row>
  </x:sheetData>
  <x:dataValidations count="3">
    <x:dataValidation type="list" allowBlank="1" showDropDown="0" sqref="C4:C43">
      <x:formula1>"TikTok,Instagram Reels,YouTube Shorts,Snapchat Spotlight,Reddit/Community,Creator Post"</x:formula1>
    </x:dataValidation>
    <x:dataValidation type="list" allowBlank="1" showDropDown="0" sqref="F4:F43">
      <x:formula1>"Product Demo,Challenge,Social Proof,Humor,Trust,Rewards,Groups,Sponsor,Referral"</x:formula1>
    </x:dataValidation>
    <x:dataValidation type="list" allowBlank="0" showDropDown="0" sqref="Y4:Y43">
      <x:formula1>"Planned,Scale,Iterate,Cut,Winner"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9.450000762939453" hidden="0" customWidth="1"/>
    <x:col min="3" max="3" width="33.7400016784668" hidden="0" customWidth="1"/>
    <x:col min="4" max="4" width="28.829999923706055" hidden="0" customWidth="1"/>
    <x:col min="5" max="5" width="26.3799991607666" hidden="0" customWidth="1"/>
    <x:col min="6" max="6" width="31.290000915527344" hidden="0" customWidth="1"/>
    <x:col min="7" max="7" width="38.650001525878906" hidden="0" customWidth="1"/>
  </x:cols>
  <x:sheetData>
    <x:row r="1" ht="31.5" customHeight="1">
      <x:c r="A1" s="8" t="str">
        <x:v>Platform-Specific Short-Form Templates</x:v>
      </x:c>
      <x:c r="B1" s="9" t="str"/>
      <x:c r="C1" s="9" t="str"/>
      <x:c r="D1" s="9" t="str"/>
      <x:c r="E1" s="9" t="str"/>
      <x:c r="F1" s="9" t="str"/>
      <x:c r="G1" s="10" t="str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Platform</x:v>
      </x:c>
      <x:c r="B3" s="26" t="str">
        <x:v>Creative Specs / Native Feel</x:v>
      </x:c>
      <x:c r="C3" s="26" t="str">
        <x:v>Hook Structure</x:v>
      </x:c>
      <x:c r="D3" s="26" t="str">
        <x:v>Caption / CTA Pattern</x:v>
      </x:c>
      <x:c r="E3" s="26" t="str">
        <x:v>Primary Metrics</x:v>
      </x:c>
      <x:c r="F3" s="26" t="str">
        <x:v>Best Just20 Formats</x:v>
      </x:c>
      <x:c r="G3" s="27" t="str">
        <x:v>Notes</x:v>
      </x:c>
    </x:row>
    <x:row r="4">
      <x:c r="A4" s="62" t="str">
        <x:v>TikTok</x:v>
      </x:c>
      <x:c r="B4" s="73" t="str">
        <x:v>9:16, sound on, visible in safe zone, DIY/UGC feel.</x:v>
      </x:c>
      <x:c r="C4" s="73" t="str">
        <x:v>0-3s proposition, 3-6s surprise/proof, then CTA.</x:v>
      </x:c>
      <x:c r="D4" s="73" t="str">
        <x:v>Short challenge CTA: "comment 20", "tag the quitter", "download and prove it".</x:v>
      </x:c>
      <x:c r="E4" s="73" t="str">
        <x:v>3-sec hold, avg watch %, profile visits, installs.</x:v>
      </x:c>
      <x:c r="F4" s="73" t="str">
        <x:v>Founder demo, notification skit, creator challenge, camera proof.</x:v>
      </x:c>
      <x:c r="G4" s="63" t="str">
        <x:v>Keep 3-5 very different creative angles running. Refresh when daily new users decline.</x:v>
      </x:c>
    </x:row>
    <x:row r="5">
      <x:c r="A5" s="64" t="str">
        <x:v>Instagram Reels</x:v>
      </x:c>
      <x:c r="B5" s="74" t="str">
        <x:v>9:16, clean visual center, Story-repost friendly.</x:v>
      </x:c>
      <x:c r="C5" s="74" t="str">
        <x:v>Aspirational proof first: receipt, streak, badge, group challenge.</x:v>
      </x:c>
      <x:c r="D5" s="74" t="str">
        <x:v>Ask for Story share, tag, or challenge; use pinned comment for install path.</x:v>
      </x:c>
      <x:c r="E5" s="74" t="str">
        <x:v>Shares, saves, Story mentions, profile taps, install clicks.</x:v>
      </x:c>
      <x:c r="F5" s="74" t="str">
        <x:v>Receipt montage, badge reveal, Day 7 challenge, creator collab.</x:v>
      </x:c>
      <x:c r="G5" s="65" t="str">
        <x:v>Design text for safe zone and make the proof card screenshotable.</x:v>
      </x:c>
    </x:row>
    <x:row r="6">
      <x:c r="A6" s="64" t="str">
        <x:v>YouTube Shorts</x:v>
      </x:c>
      <x:c r="B6" s="74" t="str">
        <x:v>Vertical upload, up to 3 minutes, search/discovery friendly.</x:v>
      </x:c>
      <x:c r="C6" s="74" t="str">
        <x:v>Clear title premise plus fast visual payoff.</x:v>
      </x:c>
      <x:c r="D6" s="74" t="str">
        <x:v>Title should include searchable premise: pushup challenge, daily streak, app that counts reps.</x:v>
      </x:c>
      <x:c r="E6" s="74" t="str">
        <x:v>Engaged views, avg view duration, avg % viewed, subscribers, installs.</x:v>
      </x:c>
      <x:c r="F6" s="74" t="str">
        <x:v>Founder build story, comparison videos, proof demos.</x:v>
      </x:c>
      <x:c r="G6" s="65" t="str">
        <x:v>Shorts views alone are loose; use engaged views for real creative comparison.</x:v>
      </x:c>
    </x:row>
    <x:row r="7">
      <x:c r="A7" s="64" t="str">
        <x:v>Snapchat Spotlight</x:v>
      </x:c>
      <x:c r="B7" s="74" t="str">
        <x:v>Positive, safe, fast, phone-native vertical.</x:v>
      </x:c>
      <x:c r="C7" s="74" t="str">
        <x:v>Physical challenge but not risky or shaming.</x:v>
      </x:c>
      <x:c r="D7" s="74" t="str">
        <x:v>CTA should be playful: "try Day 1" not aggressive pressure.</x:v>
      </x:c>
      <x:c r="E7" s="74" t="str">
        <x:v>Completion rate, shares, follows, app clicks if available.</x:v>
      </x:c>
      <x:c r="F7" s="74" t="str">
        <x:v>Friend challenge, receipt montage, funny reminder skits.</x:v>
      </x:c>
      <x:c r="G7" s="65" t="str">
        <x:v>Keep copy safe and avoid dangerous stunt framing.</x:v>
      </x:c>
    </x:row>
    <x:row r="8">
      <x:c r="A8" s="64" t="str">
        <x:v>Reddit / Discord / Communities</x:v>
      </x:c>
      <x:c r="B8" s="74" t="str">
        <x:v>Text-first, honest, no spammy link dump.</x:v>
      </x:c>
      <x:c r="C8" s="74" t="str">
        <x:v>Build story, problem, ask for testers, lessons learned.</x:v>
      </x:c>
      <x:c r="D8" s="74" t="str">
        <x:v>Ask for feedback/testers; link only where allowed.</x:v>
      </x:c>
      <x:c r="E8" s="74" t="str">
        <x:v>Replies, testers, install links, qualitative objections.</x:v>
      </x:c>
      <x:c r="F8" s="74" t="str">
        <x:v>Founder build log, beta ask, camera-tracking feedback request.</x:v>
      </x:c>
      <x:c r="G8" s="65" t="str">
        <x:v>Lead with usefulness and transparency, not hype.</x:v>
      </x:c>
    </x:row>
    <x:row r="9">
      <x:c r="A9" s="66" t="str">
        <x:v>Creator DM</x:v>
      </x:c>
      <x:c r="B9" s="75" t="str">
        <x:v>Personal, specific, low friction ask.</x:v>
      </x:c>
      <x:c r="C9" s="75" t="str">
        <x:v>Creator-specific compliment, 7-day prompt, unique code, repost promise.</x:v>
      </x:c>
      <x:c r="D9" s="75" t="str">
        <x:v>Ask for one challenge post and permission to repost.</x:v>
      </x:c>
      <x:c r="E9" s="75" t="str">
        <x:v>Reply rate, posts live, installs/code, first workouts/code.</x:v>
      </x:c>
      <x:c r="F9" s="75" t="str">
        <x:v>Micro fitness, college, comedy, productivity, local gym.</x:v>
      </x:c>
      <x:c r="G9" s="67" t="str">
        <x:v>Offer custom code, featured challenge, and future creator leaderboard.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9.020000457763672" hidden="0" customWidth="1"/>
    <x:col min="3" max="3" width="15.949999809265137" hidden="0" customWidth="1"/>
    <x:col min="4" max="4" width="15.34000015258789" hidden="0" customWidth="1"/>
    <x:col min="5" max="5" width="12.270000457763672" hidden="0" customWidth="1"/>
    <x:col min="6" max="6" width="12.270000457763672" hidden="0" customWidth="1"/>
    <x:col min="7" max="7" width="10.430000305175781" hidden="0" customWidth="1"/>
    <x:col min="8" max="8" width="10.430000305175781" hidden="0" customWidth="1"/>
    <x:col min="9" max="9" width="10.430000305175781" hidden="0" customWidth="1"/>
    <x:col min="10" max="10" width="12.270000457763672" hidden="0" customWidth="1"/>
    <x:col min="11" max="11" width="11.039999961853027" hidden="0" customWidth="1"/>
    <x:col min="12" max="12" width="11.65999984741211" hidden="0" customWidth="1"/>
    <x:col min="13" max="13" width="10.430000305175781" hidden="0" customWidth="1"/>
    <x:col min="14" max="14" width="12.270000457763672" hidden="0" customWidth="1"/>
    <x:col min="15" max="15" width="12.270000457763672" hidden="0" customWidth="1"/>
    <x:col min="16" max="16" width="11.65999984741211" hidden="0" customWidth="1"/>
    <x:col min="17" max="17" width="26.3799991607666" hidden="0" customWidth="1"/>
  </x:cols>
  <x:sheetData>
    <x:row r="1" ht="31.5" customHeight="1">
      <x:c r="A1" s="8" t="str">
        <x:v>Creator, Community and Referral Code Tracker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9" t="str"/>
      <x:c r="M1" s="9" t="str"/>
      <x:c r="N1" s="9" t="str"/>
      <x:c r="O1" s="9" t="str"/>
      <x:c r="P1" s="9" t="str"/>
      <x:c r="Q1" s="10" t="str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Code</x:v>
      </x:c>
      <x:c r="B3" s="26" t="str">
        <x:v>Owner / Partner</x:v>
      </x:c>
      <x:c r="C3" s="26" t="str">
        <x:v>Segment</x:v>
      </x:c>
      <x:c r="D3" s="26" t="str">
        <x:v>Channel</x:v>
      </x:c>
      <x:c r="E3" s="26" t="str">
        <x:v>Start Date</x:v>
      </x:c>
      <x:c r="F3" s="26" t="str">
        <x:v>End Date</x:v>
      </x:c>
      <x:c r="G3" s="26" t="str">
        <x:v>Posts</x:v>
      </x:c>
      <x:c r="H3" s="26" t="str">
        <x:v>Views</x:v>
      </x:c>
      <x:c r="I3" s="26" t="str">
        <x:v>Clicks</x:v>
      </x:c>
      <x:c r="J3" s="26" t="str">
        <x:v>Installs</x:v>
      </x:c>
      <x:c r="K3" s="26" t="str">
        <x:v>First Workouts</x:v>
      </x:c>
      <x:c r="L3" s="26" t="str">
        <x:v>Proof Shares</x:v>
      </x:c>
      <x:c r="M3" s="26" t="str">
        <x:v>Cost / Reward</x:v>
      </x:c>
      <x:c r="N3" s="26" t="str">
        <x:v>CPI</x:v>
      </x:c>
      <x:c r="O3" s="26" t="str">
        <x:v>Activation %</x:v>
      </x:c>
      <x:c r="P3" s="26" t="str">
        <x:v>Status</x:v>
      </x:c>
      <x:c r="Q3" s="27" t="str">
        <x:v>Notes</x:v>
      </x:c>
    </x:row>
    <x:row r="4">
      <x:c r="A4" s="62" t="str">
        <x:v>J20FOUNDER</x:v>
      </x:c>
      <x:c r="B4" s="73" t="str">
        <x:v>Founder</x:v>
      </x:c>
      <x:c r="C4" s="73" t="str">
        <x:v>Founder</x:v>
      </x:c>
      <x:c r="D4" s="73" t="str">
        <x:v>All</x:v>
      </x:c>
      <x:c r="E4" s="91" t="str"/>
      <x:c r="F4" s="91" t="str"/>
      <x:c r="G4" s="79" t="n">
        <x:v>0</x:v>
      </x:c>
      <x:c r="H4" s="79" t="n">
        <x:v>0</x:v>
      </x:c>
      <x:c r="I4" s="79" t="n">
        <x:v>0</x:v>
      </x:c>
      <x:c r="J4" s="79" t="n">
        <x:v>0</x:v>
      </x:c>
      <x:c r="K4" s="79" t="n">
        <x:v>0</x:v>
      </x:c>
      <x:c r="L4" s="79" t="n">
        <x:v>0</x:v>
      </x:c>
      <x:c r="M4" s="79" t="n">
        <x:v>0</x:v>
      </x:c>
      <x:c r="N4" s="88" t="str">
        <x:f>IF(J4=0,"",M4/J4)</x:f>
      </x:c>
      <x:c r="O4" s="85" t="str">
        <x:f>IF(J4=0,"",K4/J4)</x:f>
      </x:c>
      <x:c r="P4" s="73" t="str">
        <x:v>Active</x:v>
      </x:c>
      <x:c r="Q4" s="63" t="str">
        <x:v>Default link/code for founder content.</x:v>
      </x:c>
    </x:row>
    <x:row r="5">
      <x:c r="A5" s="64" t="str">
        <x:v>J20CAMPUS</x:v>
      </x:c>
      <x:c r="B5" s="74" t="str">
        <x:v>Campus pilot</x:v>
      </x:c>
      <x:c r="C5" s="74" t="str">
        <x:v>College</x:v>
      </x:c>
      <x:c r="D5" s="74" t="str">
        <x:v>TikTok/Reels</x:v>
      </x:c>
      <x:c r="E5" s="92" t="str"/>
      <x:c r="F5" s="92" t="str"/>
      <x:c r="G5" s="80" t="n">
        <x:v>0</x:v>
      </x:c>
      <x:c r="H5" s="80" t="n">
        <x:v>0</x:v>
      </x:c>
      <x:c r="I5" s="80" t="n">
        <x:v>0</x:v>
      </x:c>
      <x:c r="J5" s="80" t="n">
        <x:v>0</x:v>
      </x:c>
      <x:c r="K5" s="80" t="n">
        <x:v>0</x:v>
      </x:c>
      <x:c r="L5" s="80" t="n">
        <x:v>0</x:v>
      </x:c>
      <x:c r="M5" s="80" t="n">
        <x:v>0</x:v>
      </x:c>
      <x:c r="N5" s="89" t="str">
        <x:f>IF(J5=0,"",M5/J5)</x:f>
      </x:c>
      <x:c r="O5" s="86" t="str">
        <x:f>IF(J5=0,"",K5/J5)</x:f>
      </x:c>
      <x:c r="P5" s="74" t="str">
        <x:v>Planned</x:v>
      </x:c>
      <x:c r="Q5" s="65" t="str">
        <x:v>Use for dorm/team challenge tests.</x:v>
      </x:c>
    </x:row>
    <x:row r="6">
      <x:c r="A6" s="64" t="str"/>
      <x:c r="B6" s="74" t="str"/>
      <x:c r="C6" s="74" t="str"/>
      <x:c r="D6" s="74" t="str"/>
      <x:c r="E6" s="92" t="str"/>
      <x:c r="F6" s="92" t="str"/>
      <x:c r="G6" s="80" t="str"/>
      <x:c r="H6" s="80" t="str"/>
      <x:c r="I6" s="80" t="str"/>
      <x:c r="J6" s="80" t="str"/>
      <x:c r="K6" s="80" t="str"/>
      <x:c r="L6" s="80" t="str"/>
      <x:c r="M6" s="80" t="str"/>
      <x:c r="N6" s="89" t="str">
        <x:f>IF(J6=0,"",M6/J6)</x:f>
      </x:c>
      <x:c r="O6" s="86" t="str">
        <x:f>IF(J6=0,"",K6/J6)</x:f>
      </x:c>
      <x:c r="P6" s="74" t="str">
        <x:v>Planned</x:v>
      </x:c>
      <x:c r="Q6" s="65" t="str"/>
    </x:row>
    <x:row r="7">
      <x:c r="A7" s="64" t="str"/>
      <x:c r="B7" s="74" t="str"/>
      <x:c r="C7" s="74" t="str"/>
      <x:c r="D7" s="74" t="str"/>
      <x:c r="E7" s="92" t="str"/>
      <x:c r="F7" s="92" t="str"/>
      <x:c r="G7" s="80" t="str"/>
      <x:c r="H7" s="80" t="str"/>
      <x:c r="I7" s="80" t="str"/>
      <x:c r="J7" s="80" t="str"/>
      <x:c r="K7" s="80" t="str"/>
      <x:c r="L7" s="80" t="str"/>
      <x:c r="M7" s="80" t="str"/>
      <x:c r="N7" s="89" t="str">
        <x:f>IF(J7=0,"",M7/J7)</x:f>
      </x:c>
      <x:c r="O7" s="86" t="str">
        <x:f>IF(J7=0,"",K7/J7)</x:f>
      </x:c>
      <x:c r="P7" s="74" t="str">
        <x:v>Planned</x:v>
      </x:c>
      <x:c r="Q7" s="65" t="str"/>
    </x:row>
    <x:row r="8">
      <x:c r="A8" s="64" t="str"/>
      <x:c r="B8" s="74" t="str"/>
      <x:c r="C8" s="74" t="str"/>
      <x:c r="D8" s="74" t="str"/>
      <x:c r="E8" s="92" t="str"/>
      <x:c r="F8" s="92" t="str"/>
      <x:c r="G8" s="80" t="str"/>
      <x:c r="H8" s="80" t="str"/>
      <x:c r="I8" s="80" t="str"/>
      <x:c r="J8" s="80" t="str"/>
      <x:c r="K8" s="80" t="str"/>
      <x:c r="L8" s="80" t="str"/>
      <x:c r="M8" s="80" t="str"/>
      <x:c r="N8" s="89" t="str">
        <x:f>IF(J8=0,"",M8/J8)</x:f>
      </x:c>
      <x:c r="O8" s="86" t="str">
        <x:f>IF(J8=0,"",K8/J8)</x:f>
      </x:c>
      <x:c r="P8" s="74" t="str">
        <x:v>Planned</x:v>
      </x:c>
      <x:c r="Q8" s="65" t="str"/>
    </x:row>
    <x:row r="9">
      <x:c r="A9" s="64" t="str"/>
      <x:c r="B9" s="74" t="str"/>
      <x:c r="C9" s="74" t="str"/>
      <x:c r="D9" s="74" t="str"/>
      <x:c r="E9" s="92" t="str"/>
      <x:c r="F9" s="92" t="str"/>
      <x:c r="G9" s="80" t="str"/>
      <x:c r="H9" s="80" t="str"/>
      <x:c r="I9" s="80" t="str"/>
      <x:c r="J9" s="80" t="str"/>
      <x:c r="K9" s="80" t="str"/>
      <x:c r="L9" s="80" t="str"/>
      <x:c r="M9" s="80" t="str"/>
      <x:c r="N9" s="89" t="str">
        <x:f>IF(J9=0,"",M9/J9)</x:f>
      </x:c>
      <x:c r="O9" s="86" t="str">
        <x:f>IF(J9=0,"",K9/J9)</x:f>
      </x:c>
      <x:c r="P9" s="74" t="str">
        <x:v>Planned</x:v>
      </x:c>
      <x:c r="Q9" s="65" t="str"/>
    </x:row>
    <x:row r="10">
      <x:c r="A10" s="64" t="str"/>
      <x:c r="B10" s="74" t="str"/>
      <x:c r="C10" s="74" t="str"/>
      <x:c r="D10" s="74" t="str"/>
      <x:c r="E10" s="92" t="str"/>
      <x:c r="F10" s="92" t="str"/>
      <x:c r="G10" s="80" t="str"/>
      <x:c r="H10" s="80" t="str"/>
      <x:c r="I10" s="80" t="str"/>
      <x:c r="J10" s="80" t="str"/>
      <x:c r="K10" s="80" t="str"/>
      <x:c r="L10" s="80" t="str"/>
      <x:c r="M10" s="80" t="str"/>
      <x:c r="N10" s="89" t="str">
        <x:f>IF(J10=0,"",M10/J10)</x:f>
      </x:c>
      <x:c r="O10" s="86" t="str">
        <x:f>IF(J10=0,"",K10/J10)</x:f>
      </x:c>
      <x:c r="P10" s="74" t="str">
        <x:v>Planned</x:v>
      </x:c>
      <x:c r="Q10" s="65" t="str"/>
    </x:row>
    <x:row r="11">
      <x:c r="A11" s="64" t="str"/>
      <x:c r="B11" s="74" t="str"/>
      <x:c r="C11" s="74" t="str"/>
      <x:c r="D11" s="74" t="str"/>
      <x:c r="E11" s="92" t="str"/>
      <x:c r="F11" s="92" t="str"/>
      <x:c r="G11" s="80" t="str"/>
      <x:c r="H11" s="80" t="str"/>
      <x:c r="I11" s="80" t="str"/>
      <x:c r="J11" s="80" t="str"/>
      <x:c r="K11" s="80" t="str"/>
      <x:c r="L11" s="80" t="str"/>
      <x:c r="M11" s="80" t="str"/>
      <x:c r="N11" s="89" t="str">
        <x:f>IF(J11=0,"",M11/J11)</x:f>
      </x:c>
      <x:c r="O11" s="86" t="str">
        <x:f>IF(J11=0,"",K11/J11)</x:f>
      </x:c>
      <x:c r="P11" s="74" t="str">
        <x:v>Planned</x:v>
      </x:c>
      <x:c r="Q11" s="65" t="str"/>
    </x:row>
    <x:row r="12">
      <x:c r="A12" s="64" t="str"/>
      <x:c r="B12" s="74" t="str"/>
      <x:c r="C12" s="74" t="str"/>
      <x:c r="D12" s="74" t="str"/>
      <x:c r="E12" s="92" t="str"/>
      <x:c r="F12" s="92" t="str"/>
      <x:c r="G12" s="80" t="str"/>
      <x:c r="H12" s="80" t="str"/>
      <x:c r="I12" s="80" t="str"/>
      <x:c r="J12" s="80" t="str"/>
      <x:c r="K12" s="80" t="str"/>
      <x:c r="L12" s="80" t="str"/>
      <x:c r="M12" s="80" t="str"/>
      <x:c r="N12" s="89" t="str">
        <x:f>IF(J12=0,"",M12/J12)</x:f>
      </x:c>
      <x:c r="O12" s="86" t="str">
        <x:f>IF(J12=0,"",K12/J12)</x:f>
      </x:c>
      <x:c r="P12" s="74" t="str">
        <x:v>Planned</x:v>
      </x:c>
      <x:c r="Q12" s="65" t="str"/>
    </x:row>
    <x:row r="13">
      <x:c r="A13" s="64" t="str"/>
      <x:c r="B13" s="74" t="str"/>
      <x:c r="C13" s="74" t="str"/>
      <x:c r="D13" s="74" t="str"/>
      <x:c r="E13" s="92" t="str"/>
      <x:c r="F13" s="92" t="str"/>
      <x:c r="G13" s="80" t="str"/>
      <x:c r="H13" s="80" t="str"/>
      <x:c r="I13" s="80" t="str"/>
      <x:c r="J13" s="80" t="str"/>
      <x:c r="K13" s="80" t="str"/>
      <x:c r="L13" s="80" t="str"/>
      <x:c r="M13" s="80" t="str"/>
      <x:c r="N13" s="89" t="str">
        <x:f>IF(J13=0,"",M13/J13)</x:f>
      </x:c>
      <x:c r="O13" s="86" t="str">
        <x:f>IF(J13=0,"",K13/J13)</x:f>
      </x:c>
      <x:c r="P13" s="74" t="str">
        <x:v>Planned</x:v>
      </x:c>
      <x:c r="Q13" s="65" t="str"/>
    </x:row>
    <x:row r="14">
      <x:c r="A14" s="64" t="str"/>
      <x:c r="B14" s="74" t="str"/>
      <x:c r="C14" s="74" t="str"/>
      <x:c r="D14" s="74" t="str"/>
      <x:c r="E14" s="92" t="str"/>
      <x:c r="F14" s="92" t="str"/>
      <x:c r="G14" s="80" t="str"/>
      <x:c r="H14" s="80" t="str"/>
      <x:c r="I14" s="80" t="str"/>
      <x:c r="J14" s="80" t="str"/>
      <x:c r="K14" s="80" t="str"/>
      <x:c r="L14" s="80" t="str"/>
      <x:c r="M14" s="80" t="str"/>
      <x:c r="N14" s="89" t="str">
        <x:f>IF(J14=0,"",M14/J14)</x:f>
      </x:c>
      <x:c r="O14" s="86" t="str">
        <x:f>IF(J14=0,"",K14/J14)</x:f>
      </x:c>
      <x:c r="P14" s="74" t="str">
        <x:v>Planned</x:v>
      </x:c>
      <x:c r="Q14" s="65" t="str"/>
    </x:row>
    <x:row r="15">
      <x:c r="A15" s="64" t="str"/>
      <x:c r="B15" s="74" t="str"/>
      <x:c r="C15" s="74" t="str"/>
      <x:c r="D15" s="74" t="str"/>
      <x:c r="E15" s="92" t="str"/>
      <x:c r="F15" s="92" t="str"/>
      <x:c r="G15" s="80" t="str"/>
      <x:c r="H15" s="80" t="str"/>
      <x:c r="I15" s="80" t="str"/>
      <x:c r="J15" s="80" t="str"/>
      <x:c r="K15" s="80" t="str"/>
      <x:c r="L15" s="80" t="str"/>
      <x:c r="M15" s="80" t="str"/>
      <x:c r="N15" s="89" t="str">
        <x:f>IF(J15=0,"",M15/J15)</x:f>
      </x:c>
      <x:c r="O15" s="86" t="str">
        <x:f>IF(J15=0,"",K15/J15)</x:f>
      </x:c>
      <x:c r="P15" s="74" t="str">
        <x:v>Planned</x:v>
      </x:c>
      <x:c r="Q15" s="65" t="str"/>
    </x:row>
    <x:row r="16">
      <x:c r="A16" s="64" t="str"/>
      <x:c r="B16" s="74" t="str"/>
      <x:c r="C16" s="74" t="str"/>
      <x:c r="D16" s="74" t="str"/>
      <x:c r="E16" s="92" t="str"/>
      <x:c r="F16" s="92" t="str"/>
      <x:c r="G16" s="80" t="str"/>
      <x:c r="H16" s="80" t="str"/>
      <x:c r="I16" s="80" t="str"/>
      <x:c r="J16" s="80" t="str"/>
      <x:c r="K16" s="80" t="str"/>
      <x:c r="L16" s="80" t="str"/>
      <x:c r="M16" s="80" t="str"/>
      <x:c r="N16" s="89" t="str">
        <x:f>IF(J16=0,"",M16/J16)</x:f>
      </x:c>
      <x:c r="O16" s="86" t="str">
        <x:f>IF(J16=0,"",K16/J16)</x:f>
      </x:c>
      <x:c r="P16" s="74" t="str">
        <x:v>Planned</x:v>
      </x:c>
      <x:c r="Q16" s="65" t="str"/>
    </x:row>
    <x:row r="17">
      <x:c r="A17" s="64" t="str"/>
      <x:c r="B17" s="74" t="str"/>
      <x:c r="C17" s="74" t="str"/>
      <x:c r="D17" s="74" t="str"/>
      <x:c r="E17" s="92" t="str"/>
      <x:c r="F17" s="92" t="str"/>
      <x:c r="G17" s="80" t="str"/>
      <x:c r="H17" s="80" t="str"/>
      <x:c r="I17" s="80" t="str"/>
      <x:c r="J17" s="80" t="str"/>
      <x:c r="K17" s="80" t="str"/>
      <x:c r="L17" s="80" t="str"/>
      <x:c r="M17" s="80" t="str"/>
      <x:c r="N17" s="89" t="str">
        <x:f>IF(J17=0,"",M17/J17)</x:f>
      </x:c>
      <x:c r="O17" s="86" t="str">
        <x:f>IF(J17=0,"",K17/J17)</x:f>
      </x:c>
      <x:c r="P17" s="74" t="str">
        <x:v>Planned</x:v>
      </x:c>
      <x:c r="Q17" s="65" t="str"/>
    </x:row>
    <x:row r="18">
      <x:c r="A18" s="64" t="str"/>
      <x:c r="B18" s="74" t="str"/>
      <x:c r="C18" s="74" t="str"/>
      <x:c r="D18" s="74" t="str"/>
      <x:c r="E18" s="92" t="str"/>
      <x:c r="F18" s="92" t="str"/>
      <x:c r="G18" s="80" t="str"/>
      <x:c r="H18" s="80" t="str"/>
      <x:c r="I18" s="80" t="str"/>
      <x:c r="J18" s="80" t="str"/>
      <x:c r="K18" s="80" t="str"/>
      <x:c r="L18" s="80" t="str"/>
      <x:c r="M18" s="80" t="str"/>
      <x:c r="N18" s="89" t="str">
        <x:f>IF(J18=0,"",M18/J18)</x:f>
      </x:c>
      <x:c r="O18" s="86" t="str">
        <x:f>IF(J18=0,"",K18/J18)</x:f>
      </x:c>
      <x:c r="P18" s="74" t="str">
        <x:v>Planned</x:v>
      </x:c>
      <x:c r="Q18" s="65" t="str"/>
    </x:row>
    <x:row r="19">
      <x:c r="A19" s="64" t="str"/>
      <x:c r="B19" s="74" t="str"/>
      <x:c r="C19" s="74" t="str"/>
      <x:c r="D19" s="74" t="str"/>
      <x:c r="E19" s="92" t="str"/>
      <x:c r="F19" s="92" t="str"/>
      <x:c r="G19" s="80" t="str"/>
      <x:c r="H19" s="80" t="str"/>
      <x:c r="I19" s="80" t="str"/>
      <x:c r="J19" s="80" t="str"/>
      <x:c r="K19" s="80" t="str"/>
      <x:c r="L19" s="80" t="str"/>
      <x:c r="M19" s="80" t="str"/>
      <x:c r="N19" s="89" t="str">
        <x:f>IF(J19=0,"",M19/J19)</x:f>
      </x:c>
      <x:c r="O19" s="86" t="str">
        <x:f>IF(J19=0,"",K19/J19)</x:f>
      </x:c>
      <x:c r="P19" s="74" t="str">
        <x:v>Planned</x:v>
      </x:c>
      <x:c r="Q19" s="65" t="str"/>
    </x:row>
    <x:row r="20">
      <x:c r="A20" s="64" t="str"/>
      <x:c r="B20" s="74" t="str"/>
      <x:c r="C20" s="74" t="str"/>
      <x:c r="D20" s="74" t="str"/>
      <x:c r="E20" s="92" t="str"/>
      <x:c r="F20" s="92" t="str"/>
      <x:c r="G20" s="80" t="str"/>
      <x:c r="H20" s="80" t="str"/>
      <x:c r="I20" s="80" t="str"/>
      <x:c r="J20" s="80" t="str"/>
      <x:c r="K20" s="80" t="str"/>
      <x:c r="L20" s="80" t="str"/>
      <x:c r="M20" s="80" t="str"/>
      <x:c r="N20" s="89" t="str">
        <x:f>IF(J20=0,"",M20/J20)</x:f>
      </x:c>
      <x:c r="O20" s="86" t="str">
        <x:f>IF(J20=0,"",K20/J20)</x:f>
      </x:c>
      <x:c r="P20" s="74" t="str">
        <x:v>Planned</x:v>
      </x:c>
      <x:c r="Q20" s="65" t="str"/>
    </x:row>
    <x:row r="21">
      <x:c r="A21" s="64" t="str"/>
      <x:c r="B21" s="74" t="str"/>
      <x:c r="C21" s="74" t="str"/>
      <x:c r="D21" s="74" t="str"/>
      <x:c r="E21" s="92" t="str"/>
      <x:c r="F21" s="92" t="str"/>
      <x:c r="G21" s="80" t="str"/>
      <x:c r="H21" s="80" t="str"/>
      <x:c r="I21" s="80" t="str"/>
      <x:c r="J21" s="80" t="str"/>
      <x:c r="K21" s="80" t="str"/>
      <x:c r="L21" s="80" t="str"/>
      <x:c r="M21" s="80" t="str"/>
      <x:c r="N21" s="89" t="str">
        <x:f>IF(J21=0,"",M21/J21)</x:f>
      </x:c>
      <x:c r="O21" s="86" t="str">
        <x:f>IF(J21=0,"",K21/J21)</x:f>
      </x:c>
      <x:c r="P21" s="74" t="str">
        <x:v>Planned</x:v>
      </x:c>
      <x:c r="Q21" s="65" t="str"/>
    </x:row>
    <x:row r="22">
      <x:c r="A22" s="64" t="str"/>
      <x:c r="B22" s="74" t="str"/>
      <x:c r="C22" s="74" t="str"/>
      <x:c r="D22" s="74" t="str"/>
      <x:c r="E22" s="92" t="str"/>
      <x:c r="F22" s="92" t="str"/>
      <x:c r="G22" s="80" t="str"/>
      <x:c r="H22" s="80" t="str"/>
      <x:c r="I22" s="80" t="str"/>
      <x:c r="J22" s="80" t="str"/>
      <x:c r="K22" s="80" t="str"/>
      <x:c r="L22" s="80" t="str"/>
      <x:c r="M22" s="80" t="str"/>
      <x:c r="N22" s="89" t="str">
        <x:f>IF(J22=0,"",M22/J22)</x:f>
      </x:c>
      <x:c r="O22" s="86" t="str">
        <x:f>IF(J22=0,"",K22/J22)</x:f>
      </x:c>
      <x:c r="P22" s="74" t="str">
        <x:v>Planned</x:v>
      </x:c>
      <x:c r="Q22" s="65" t="str"/>
    </x:row>
    <x:row r="23">
      <x:c r="A23" s="64" t="str"/>
      <x:c r="B23" s="74" t="str"/>
      <x:c r="C23" s="74" t="str"/>
      <x:c r="D23" s="74" t="str"/>
      <x:c r="E23" s="92" t="str"/>
      <x:c r="F23" s="92" t="str"/>
      <x:c r="G23" s="80" t="str"/>
      <x:c r="H23" s="80" t="str"/>
      <x:c r="I23" s="80" t="str"/>
      <x:c r="J23" s="80" t="str"/>
      <x:c r="K23" s="80" t="str"/>
      <x:c r="L23" s="80" t="str"/>
      <x:c r="M23" s="80" t="str"/>
      <x:c r="N23" s="89" t="str">
        <x:f>IF(J23=0,"",M23/J23)</x:f>
      </x:c>
      <x:c r="O23" s="86" t="str">
        <x:f>IF(J23=0,"",K23/J23)</x:f>
      </x:c>
      <x:c r="P23" s="74" t="str">
        <x:v>Planned</x:v>
      </x:c>
      <x:c r="Q23" s="65" t="str"/>
    </x:row>
    <x:row r="24">
      <x:c r="A24" s="64" t="str"/>
      <x:c r="B24" s="74" t="str"/>
      <x:c r="C24" s="74" t="str"/>
      <x:c r="D24" s="74" t="str"/>
      <x:c r="E24" s="92" t="str"/>
      <x:c r="F24" s="92" t="str"/>
      <x:c r="G24" s="80" t="str"/>
      <x:c r="H24" s="80" t="str"/>
      <x:c r="I24" s="80" t="str"/>
      <x:c r="J24" s="80" t="str"/>
      <x:c r="K24" s="80" t="str"/>
      <x:c r="L24" s="80" t="str"/>
      <x:c r="M24" s="80" t="str"/>
      <x:c r="N24" s="89" t="str">
        <x:f>IF(J24=0,"",M24/J24)</x:f>
      </x:c>
      <x:c r="O24" s="86" t="str">
        <x:f>IF(J24=0,"",K24/J24)</x:f>
      </x:c>
      <x:c r="P24" s="74" t="str">
        <x:v>Planned</x:v>
      </x:c>
      <x:c r="Q24" s="65" t="str"/>
    </x:row>
    <x:row r="25">
      <x:c r="A25" s="64" t="str"/>
      <x:c r="B25" s="74" t="str"/>
      <x:c r="C25" s="74" t="str"/>
      <x:c r="D25" s="74" t="str"/>
      <x:c r="E25" s="92" t="str"/>
      <x:c r="F25" s="92" t="str"/>
      <x:c r="G25" s="80" t="str"/>
      <x:c r="H25" s="80" t="str"/>
      <x:c r="I25" s="80" t="str"/>
      <x:c r="J25" s="80" t="str"/>
      <x:c r="K25" s="80" t="str"/>
      <x:c r="L25" s="80" t="str"/>
      <x:c r="M25" s="80" t="str"/>
      <x:c r="N25" s="89" t="str">
        <x:f>IF(J25=0,"",M25/J25)</x:f>
      </x:c>
      <x:c r="O25" s="86" t="str">
        <x:f>IF(J25=0,"",K25/J25)</x:f>
      </x:c>
      <x:c r="P25" s="74" t="str">
        <x:v>Planned</x:v>
      </x:c>
      <x:c r="Q25" s="65" t="str"/>
    </x:row>
    <x:row r="26">
      <x:c r="A26" s="64" t="str"/>
      <x:c r="B26" s="74" t="str"/>
      <x:c r="C26" s="74" t="str"/>
      <x:c r="D26" s="74" t="str"/>
      <x:c r="E26" s="92" t="str"/>
      <x:c r="F26" s="92" t="str"/>
      <x:c r="G26" s="80" t="str"/>
      <x:c r="H26" s="80" t="str"/>
      <x:c r="I26" s="80" t="str"/>
      <x:c r="J26" s="80" t="str"/>
      <x:c r="K26" s="80" t="str"/>
      <x:c r="L26" s="80" t="str"/>
      <x:c r="M26" s="80" t="str"/>
      <x:c r="N26" s="89" t="str">
        <x:f>IF(J26=0,"",M26/J26)</x:f>
      </x:c>
      <x:c r="O26" s="86" t="str">
        <x:f>IF(J26=0,"",K26/J26)</x:f>
      </x:c>
      <x:c r="P26" s="74" t="str">
        <x:v>Planned</x:v>
      </x:c>
      <x:c r="Q26" s="65" t="str"/>
    </x:row>
    <x:row r="27">
      <x:c r="A27" s="64" t="str"/>
      <x:c r="B27" s="74" t="str"/>
      <x:c r="C27" s="74" t="str"/>
      <x:c r="D27" s="74" t="str"/>
      <x:c r="E27" s="92" t="str"/>
      <x:c r="F27" s="92" t="str"/>
      <x:c r="G27" s="80" t="str"/>
      <x:c r="H27" s="80" t="str"/>
      <x:c r="I27" s="80" t="str"/>
      <x:c r="J27" s="80" t="str"/>
      <x:c r="K27" s="80" t="str"/>
      <x:c r="L27" s="80" t="str"/>
      <x:c r="M27" s="80" t="str"/>
      <x:c r="N27" s="89" t="str">
        <x:f>IF(J27=0,"",M27/J27)</x:f>
      </x:c>
      <x:c r="O27" s="86" t="str">
        <x:f>IF(J27=0,"",K27/J27)</x:f>
      </x:c>
      <x:c r="P27" s="74" t="str">
        <x:v>Planned</x:v>
      </x:c>
      <x:c r="Q27" s="65" t="str"/>
    </x:row>
    <x:row r="28">
      <x:c r="A28" s="64" t="str"/>
      <x:c r="B28" s="74" t="str"/>
      <x:c r="C28" s="74" t="str"/>
      <x:c r="D28" s="74" t="str"/>
      <x:c r="E28" s="92" t="str"/>
      <x:c r="F28" s="92" t="str"/>
      <x:c r="G28" s="80" t="str"/>
      <x:c r="H28" s="80" t="str"/>
      <x:c r="I28" s="80" t="str"/>
      <x:c r="J28" s="80" t="str"/>
      <x:c r="K28" s="80" t="str"/>
      <x:c r="L28" s="80" t="str"/>
      <x:c r="M28" s="80" t="str"/>
      <x:c r="N28" s="89" t="str">
        <x:f>IF(J28=0,"",M28/J28)</x:f>
      </x:c>
      <x:c r="O28" s="86" t="str">
        <x:f>IF(J28=0,"",K28/J28)</x:f>
      </x:c>
      <x:c r="P28" s="74" t="str">
        <x:v>Planned</x:v>
      </x:c>
      <x:c r="Q28" s="65" t="str"/>
    </x:row>
    <x:row r="29">
      <x:c r="A29" s="64" t="str"/>
      <x:c r="B29" s="74" t="str"/>
      <x:c r="C29" s="74" t="str"/>
      <x:c r="D29" s="74" t="str"/>
      <x:c r="E29" s="92" t="str"/>
      <x:c r="F29" s="92" t="str"/>
      <x:c r="G29" s="80" t="str"/>
      <x:c r="H29" s="80" t="str"/>
      <x:c r="I29" s="80" t="str"/>
      <x:c r="J29" s="80" t="str"/>
      <x:c r="K29" s="80" t="str"/>
      <x:c r="L29" s="80" t="str"/>
      <x:c r="M29" s="80" t="str"/>
      <x:c r="N29" s="89" t="str">
        <x:f>IF(J29=0,"",M29/J29)</x:f>
      </x:c>
      <x:c r="O29" s="86" t="str">
        <x:f>IF(J29=0,"",K29/J29)</x:f>
      </x:c>
      <x:c r="P29" s="74" t="str">
        <x:v>Planned</x:v>
      </x:c>
      <x:c r="Q29" s="65" t="str"/>
    </x:row>
    <x:row r="30">
      <x:c r="A30" s="64" t="str"/>
      <x:c r="B30" s="74" t="str"/>
      <x:c r="C30" s="74" t="str"/>
      <x:c r="D30" s="74" t="str"/>
      <x:c r="E30" s="92" t="str"/>
      <x:c r="F30" s="92" t="str"/>
      <x:c r="G30" s="80" t="str"/>
      <x:c r="H30" s="80" t="str"/>
      <x:c r="I30" s="80" t="str"/>
      <x:c r="J30" s="80" t="str"/>
      <x:c r="K30" s="80" t="str"/>
      <x:c r="L30" s="80" t="str"/>
      <x:c r="M30" s="80" t="str"/>
      <x:c r="N30" s="89" t="str">
        <x:f>IF(J30=0,"",M30/J30)</x:f>
      </x:c>
      <x:c r="O30" s="86" t="str">
        <x:f>IF(J30=0,"",K30/J30)</x:f>
      </x:c>
      <x:c r="P30" s="74" t="str">
        <x:v>Planned</x:v>
      </x:c>
      <x:c r="Q30" s="65" t="str"/>
    </x:row>
    <x:row r="31">
      <x:c r="A31" s="64" t="str"/>
      <x:c r="B31" s="74" t="str"/>
      <x:c r="C31" s="74" t="str"/>
      <x:c r="D31" s="74" t="str"/>
      <x:c r="E31" s="92" t="str"/>
      <x:c r="F31" s="92" t="str"/>
      <x:c r="G31" s="80" t="str"/>
      <x:c r="H31" s="80" t="str"/>
      <x:c r="I31" s="80" t="str"/>
      <x:c r="J31" s="80" t="str"/>
      <x:c r="K31" s="80" t="str"/>
      <x:c r="L31" s="80" t="str"/>
      <x:c r="M31" s="80" t="str"/>
      <x:c r="N31" s="89" t="str">
        <x:f>IF(J31=0,"",M31/J31)</x:f>
      </x:c>
      <x:c r="O31" s="86" t="str">
        <x:f>IF(J31=0,"",K31/J31)</x:f>
      </x:c>
      <x:c r="P31" s="74" t="str">
        <x:v>Planned</x:v>
      </x:c>
      <x:c r="Q31" s="65" t="str"/>
    </x:row>
    <x:row r="32">
      <x:c r="A32" s="64" t="str"/>
      <x:c r="B32" s="74" t="str"/>
      <x:c r="C32" s="74" t="str"/>
      <x:c r="D32" s="74" t="str"/>
      <x:c r="E32" s="92" t="str"/>
      <x:c r="F32" s="92" t="str"/>
      <x:c r="G32" s="80" t="str"/>
      <x:c r="H32" s="80" t="str"/>
      <x:c r="I32" s="80" t="str"/>
      <x:c r="J32" s="80" t="str"/>
      <x:c r="K32" s="80" t="str"/>
      <x:c r="L32" s="80" t="str"/>
      <x:c r="M32" s="80" t="str"/>
      <x:c r="N32" s="89" t="str">
        <x:f>IF(J32=0,"",M32/J32)</x:f>
      </x:c>
      <x:c r="O32" s="86" t="str">
        <x:f>IF(J32=0,"",K32/J32)</x:f>
      </x:c>
      <x:c r="P32" s="74" t="str">
        <x:v>Planned</x:v>
      </x:c>
      <x:c r="Q32" s="65" t="str"/>
    </x:row>
    <x:row r="33">
      <x:c r="A33" s="66" t="str"/>
      <x:c r="B33" s="75" t="str"/>
      <x:c r="C33" s="75" t="str"/>
      <x:c r="D33" s="75" t="str"/>
      <x:c r="E33" s="93" t="str"/>
      <x:c r="F33" s="93" t="str"/>
      <x:c r="G33" s="81" t="str"/>
      <x:c r="H33" s="81" t="str"/>
      <x:c r="I33" s="81" t="str"/>
      <x:c r="J33" s="81" t="str"/>
      <x:c r="K33" s="81" t="str"/>
      <x:c r="L33" s="81" t="str"/>
      <x:c r="M33" s="81" t="str"/>
      <x:c r="N33" s="90" t="str">
        <x:f>IF(J33=0,"",M33/J33)</x:f>
      </x:c>
      <x:c r="O33" s="87" t="str">
        <x:f>IF(J33=0,"",K33/J33)</x:f>
      </x:c>
      <x:c r="P33" s="75" t="str">
        <x:v>Planned</x:v>
      </x:c>
      <x:c r="Q33" s="67" t="str"/>
    </x:row>
  </x:sheetData>
  <x:dataValidations count="1">
    <x:dataValidation type="list" allowBlank="0" showDropDown="0" sqref="P4:P33">
      <x:formula1>"Planned,Active,Paused,Winner,Cut,Paid"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25.149999618530273" hidden="0" customWidth="1"/>
    <x:col min="3" max="3" width="14.109999656677246" hidden="0" customWidth="1"/>
    <x:col min="4" max="4" width="15.34000015258789" hidden="0" customWidth="1"/>
    <x:col min="5" max="5" width="12.880000114440918" hidden="0" customWidth="1"/>
    <x:col min="6" max="6" width="16.559999465942383" hidden="0" customWidth="1"/>
    <x:col min="7" max="7" width="15.949999809265137" hidden="0" customWidth="1"/>
    <x:col min="8" max="8" width="15.34000015258789" hidden="0" customWidth="1"/>
    <x:col min="9" max="9" width="15.34000015258789" hidden="0" customWidth="1"/>
    <x:col min="10" max="10" width="13.5" hidden="0" customWidth="1"/>
    <x:col min="11" max="11" width="12.270000457763672" hidden="0" customWidth="1"/>
    <x:col min="12" max="12" width="15.34000015258789" hidden="0" customWidth="1"/>
    <x:col min="13" max="13" width="31.290000915527344" hidden="0" customWidth="1"/>
  </x:cols>
  <x:sheetData>
    <x:row r="1" ht="31.5" customHeight="1">
      <x:c r="A1" s="8" t="str">
        <x:v>UGC Repost and Paid-Creative Pipeline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9" t="str"/>
      <x:c r="M1" s="10" t="str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Creator Handle</x:v>
      </x:c>
      <x:c r="B3" s="26" t="str">
        <x:v>Source Link</x:v>
      </x:c>
      <x:c r="C3" s="26" t="str">
        <x:v>Platform</x:v>
      </x:c>
      <x:c r="D3" s="26" t="str">
        <x:v>Asset Type</x:v>
      </x:c>
      <x:c r="E3" s="26" t="str">
        <x:v>Received Date</x:v>
      </x:c>
      <x:c r="F3" s="26" t="str">
        <x:v>Proof Type</x:v>
      </x:c>
      <x:c r="G3" s="26" t="str">
        <x:v>Permission Status</x:v>
      </x:c>
      <x:c r="H3" s="26" t="str">
        <x:v>Edit Status</x:v>
      </x:c>
      <x:c r="I3" s="26" t="str">
        <x:v>Repost Platform</x:v>
      </x:c>
      <x:c r="J3" s="26" t="str">
        <x:v>Scheduled Date</x:v>
      </x:c>
      <x:c r="K3" s="26" t="str">
        <x:v>Used as Ad?</x:v>
      </x:c>
      <x:c r="L3" s="26" t="str">
        <x:v>Performance</x:v>
      </x:c>
      <x:c r="M3" s="27" t="str">
        <x:v>Notes</x:v>
      </x:c>
    </x:row>
    <x:row r="4">
      <x:c r="A4" s="62" t="str"/>
      <x:c r="B4" s="73" t="str"/>
      <x:c r="C4" s="73" t="str"/>
      <x:c r="D4" s="73" t="str"/>
      <x:c r="E4" s="91" t="str"/>
      <x:c r="F4" s="73" t="str"/>
      <x:c r="G4" s="73" t="str">
        <x:v>Not Asked</x:v>
      </x:c>
      <x:c r="H4" s="73" t="str">
        <x:v>Raw</x:v>
      </x:c>
      <x:c r="I4" s="73" t="str"/>
      <x:c r="J4" s="91" t="str"/>
      <x:c r="K4" s="73" t="str">
        <x:v>No</x:v>
      </x:c>
      <x:c r="L4" s="73" t="str"/>
      <x:c r="M4" s="63" t="str"/>
    </x:row>
    <x:row r="5">
      <x:c r="A5" s="64" t="str"/>
      <x:c r="B5" s="74" t="str"/>
      <x:c r="C5" s="74" t="str"/>
      <x:c r="D5" s="74" t="str"/>
      <x:c r="E5" s="92" t="str"/>
      <x:c r="F5" s="74" t="str"/>
      <x:c r="G5" s="74" t="str">
        <x:v>Not Asked</x:v>
      </x:c>
      <x:c r="H5" s="74" t="str">
        <x:v>Raw</x:v>
      </x:c>
      <x:c r="I5" s="74" t="str"/>
      <x:c r="J5" s="92" t="str"/>
      <x:c r="K5" s="74" t="str">
        <x:v>No</x:v>
      </x:c>
      <x:c r="L5" s="74" t="str"/>
      <x:c r="M5" s="65" t="str"/>
    </x:row>
    <x:row r="6">
      <x:c r="A6" s="64" t="str"/>
      <x:c r="B6" s="74" t="str"/>
      <x:c r="C6" s="74" t="str"/>
      <x:c r="D6" s="74" t="str"/>
      <x:c r="E6" s="92" t="str"/>
      <x:c r="F6" s="74" t="str"/>
      <x:c r="G6" s="74" t="str">
        <x:v>Not Asked</x:v>
      </x:c>
      <x:c r="H6" s="74" t="str">
        <x:v>Raw</x:v>
      </x:c>
      <x:c r="I6" s="74" t="str"/>
      <x:c r="J6" s="92" t="str"/>
      <x:c r="K6" s="74" t="str">
        <x:v>No</x:v>
      </x:c>
      <x:c r="L6" s="74" t="str"/>
      <x:c r="M6" s="65" t="str"/>
    </x:row>
    <x:row r="7">
      <x:c r="A7" s="64" t="str"/>
      <x:c r="B7" s="74" t="str"/>
      <x:c r="C7" s="74" t="str"/>
      <x:c r="D7" s="74" t="str"/>
      <x:c r="E7" s="92" t="str"/>
      <x:c r="F7" s="74" t="str"/>
      <x:c r="G7" s="74" t="str">
        <x:v>Not Asked</x:v>
      </x:c>
      <x:c r="H7" s="74" t="str">
        <x:v>Raw</x:v>
      </x:c>
      <x:c r="I7" s="74" t="str"/>
      <x:c r="J7" s="92" t="str"/>
      <x:c r="K7" s="74" t="str">
        <x:v>No</x:v>
      </x:c>
      <x:c r="L7" s="74" t="str"/>
      <x:c r="M7" s="65" t="str"/>
    </x:row>
    <x:row r="8">
      <x:c r="A8" s="64" t="str"/>
      <x:c r="B8" s="74" t="str"/>
      <x:c r="C8" s="74" t="str"/>
      <x:c r="D8" s="74" t="str"/>
      <x:c r="E8" s="92" t="str"/>
      <x:c r="F8" s="74" t="str"/>
      <x:c r="G8" s="74" t="str">
        <x:v>Not Asked</x:v>
      </x:c>
      <x:c r="H8" s="74" t="str">
        <x:v>Raw</x:v>
      </x:c>
      <x:c r="I8" s="74" t="str"/>
      <x:c r="J8" s="92" t="str"/>
      <x:c r="K8" s="74" t="str">
        <x:v>No</x:v>
      </x:c>
      <x:c r="L8" s="74" t="str"/>
      <x:c r="M8" s="65" t="str"/>
    </x:row>
    <x:row r="9">
      <x:c r="A9" s="64" t="str"/>
      <x:c r="B9" s="74" t="str"/>
      <x:c r="C9" s="74" t="str"/>
      <x:c r="D9" s="74" t="str"/>
      <x:c r="E9" s="92" t="str"/>
      <x:c r="F9" s="74" t="str"/>
      <x:c r="G9" s="74" t="str">
        <x:v>Not Asked</x:v>
      </x:c>
      <x:c r="H9" s="74" t="str">
        <x:v>Raw</x:v>
      </x:c>
      <x:c r="I9" s="74" t="str"/>
      <x:c r="J9" s="92" t="str"/>
      <x:c r="K9" s="74" t="str">
        <x:v>No</x:v>
      </x:c>
      <x:c r="L9" s="74" t="str"/>
      <x:c r="M9" s="65" t="str"/>
    </x:row>
    <x:row r="10">
      <x:c r="A10" s="64" t="str"/>
      <x:c r="B10" s="74" t="str"/>
      <x:c r="C10" s="74" t="str"/>
      <x:c r="D10" s="74" t="str"/>
      <x:c r="E10" s="92" t="str"/>
      <x:c r="F10" s="74" t="str"/>
      <x:c r="G10" s="74" t="str">
        <x:v>Not Asked</x:v>
      </x:c>
      <x:c r="H10" s="74" t="str">
        <x:v>Raw</x:v>
      </x:c>
      <x:c r="I10" s="74" t="str"/>
      <x:c r="J10" s="92" t="str"/>
      <x:c r="K10" s="74" t="str">
        <x:v>No</x:v>
      </x:c>
      <x:c r="L10" s="74" t="str"/>
      <x:c r="M10" s="65" t="str"/>
    </x:row>
    <x:row r="11">
      <x:c r="A11" s="64" t="str"/>
      <x:c r="B11" s="74" t="str"/>
      <x:c r="C11" s="74" t="str"/>
      <x:c r="D11" s="74" t="str"/>
      <x:c r="E11" s="92" t="str"/>
      <x:c r="F11" s="74" t="str"/>
      <x:c r="G11" s="74" t="str">
        <x:v>Not Asked</x:v>
      </x:c>
      <x:c r="H11" s="74" t="str">
        <x:v>Raw</x:v>
      </x:c>
      <x:c r="I11" s="74" t="str"/>
      <x:c r="J11" s="92" t="str"/>
      <x:c r="K11" s="74" t="str">
        <x:v>No</x:v>
      </x:c>
      <x:c r="L11" s="74" t="str"/>
      <x:c r="M11" s="65" t="str"/>
    </x:row>
    <x:row r="12">
      <x:c r="A12" s="64" t="str"/>
      <x:c r="B12" s="74" t="str"/>
      <x:c r="C12" s="74" t="str"/>
      <x:c r="D12" s="74" t="str"/>
      <x:c r="E12" s="92" t="str"/>
      <x:c r="F12" s="74" t="str"/>
      <x:c r="G12" s="74" t="str">
        <x:v>Not Asked</x:v>
      </x:c>
      <x:c r="H12" s="74" t="str">
        <x:v>Raw</x:v>
      </x:c>
      <x:c r="I12" s="74" t="str"/>
      <x:c r="J12" s="92" t="str"/>
      <x:c r="K12" s="74" t="str">
        <x:v>No</x:v>
      </x:c>
      <x:c r="L12" s="74" t="str"/>
      <x:c r="M12" s="65" t="str"/>
    </x:row>
    <x:row r="13">
      <x:c r="A13" s="64" t="str"/>
      <x:c r="B13" s="74" t="str"/>
      <x:c r="C13" s="74" t="str"/>
      <x:c r="D13" s="74" t="str"/>
      <x:c r="E13" s="92" t="str"/>
      <x:c r="F13" s="74" t="str"/>
      <x:c r="G13" s="74" t="str">
        <x:v>Not Asked</x:v>
      </x:c>
      <x:c r="H13" s="74" t="str">
        <x:v>Raw</x:v>
      </x:c>
      <x:c r="I13" s="74" t="str"/>
      <x:c r="J13" s="92" t="str"/>
      <x:c r="K13" s="74" t="str">
        <x:v>No</x:v>
      </x:c>
      <x:c r="L13" s="74" t="str"/>
      <x:c r="M13" s="65" t="str"/>
    </x:row>
    <x:row r="14">
      <x:c r="A14" s="64" t="str"/>
      <x:c r="B14" s="74" t="str"/>
      <x:c r="C14" s="74" t="str"/>
      <x:c r="D14" s="74" t="str"/>
      <x:c r="E14" s="92" t="str"/>
      <x:c r="F14" s="74" t="str"/>
      <x:c r="G14" s="74" t="str">
        <x:v>Not Asked</x:v>
      </x:c>
      <x:c r="H14" s="74" t="str">
        <x:v>Raw</x:v>
      </x:c>
      <x:c r="I14" s="74" t="str"/>
      <x:c r="J14" s="92" t="str"/>
      <x:c r="K14" s="74" t="str">
        <x:v>No</x:v>
      </x:c>
      <x:c r="L14" s="74" t="str"/>
      <x:c r="M14" s="65" t="str"/>
    </x:row>
    <x:row r="15">
      <x:c r="A15" s="64" t="str"/>
      <x:c r="B15" s="74" t="str"/>
      <x:c r="C15" s="74" t="str"/>
      <x:c r="D15" s="74" t="str"/>
      <x:c r="E15" s="92" t="str"/>
      <x:c r="F15" s="74" t="str"/>
      <x:c r="G15" s="74" t="str">
        <x:v>Not Asked</x:v>
      </x:c>
      <x:c r="H15" s="74" t="str">
        <x:v>Raw</x:v>
      </x:c>
      <x:c r="I15" s="74" t="str"/>
      <x:c r="J15" s="92" t="str"/>
      <x:c r="K15" s="74" t="str">
        <x:v>No</x:v>
      </x:c>
      <x:c r="L15" s="74" t="str"/>
      <x:c r="M15" s="65" t="str"/>
    </x:row>
    <x:row r="16">
      <x:c r="A16" s="64" t="str"/>
      <x:c r="B16" s="74" t="str"/>
      <x:c r="C16" s="74" t="str"/>
      <x:c r="D16" s="74" t="str"/>
      <x:c r="E16" s="92" t="str"/>
      <x:c r="F16" s="74" t="str"/>
      <x:c r="G16" s="74" t="str">
        <x:v>Not Asked</x:v>
      </x:c>
      <x:c r="H16" s="74" t="str">
        <x:v>Raw</x:v>
      </x:c>
      <x:c r="I16" s="74" t="str"/>
      <x:c r="J16" s="92" t="str"/>
      <x:c r="K16" s="74" t="str">
        <x:v>No</x:v>
      </x:c>
      <x:c r="L16" s="74" t="str"/>
      <x:c r="M16" s="65" t="str"/>
    </x:row>
    <x:row r="17">
      <x:c r="A17" s="64" t="str"/>
      <x:c r="B17" s="74" t="str"/>
      <x:c r="C17" s="74" t="str"/>
      <x:c r="D17" s="74" t="str"/>
      <x:c r="E17" s="92" t="str"/>
      <x:c r="F17" s="74" t="str"/>
      <x:c r="G17" s="74" t="str">
        <x:v>Not Asked</x:v>
      </x:c>
      <x:c r="H17" s="74" t="str">
        <x:v>Raw</x:v>
      </x:c>
      <x:c r="I17" s="74" t="str"/>
      <x:c r="J17" s="92" t="str"/>
      <x:c r="K17" s="74" t="str">
        <x:v>No</x:v>
      </x:c>
      <x:c r="L17" s="74" t="str"/>
      <x:c r="M17" s="65" t="str"/>
    </x:row>
    <x:row r="18">
      <x:c r="A18" s="64" t="str"/>
      <x:c r="B18" s="74" t="str"/>
      <x:c r="C18" s="74" t="str"/>
      <x:c r="D18" s="74" t="str"/>
      <x:c r="E18" s="92" t="str"/>
      <x:c r="F18" s="74" t="str"/>
      <x:c r="G18" s="74" t="str">
        <x:v>Not Asked</x:v>
      </x:c>
      <x:c r="H18" s="74" t="str">
        <x:v>Raw</x:v>
      </x:c>
      <x:c r="I18" s="74" t="str"/>
      <x:c r="J18" s="92" t="str"/>
      <x:c r="K18" s="74" t="str">
        <x:v>No</x:v>
      </x:c>
      <x:c r="L18" s="74" t="str"/>
      <x:c r="M18" s="65" t="str"/>
    </x:row>
    <x:row r="19">
      <x:c r="A19" s="64" t="str"/>
      <x:c r="B19" s="74" t="str"/>
      <x:c r="C19" s="74" t="str"/>
      <x:c r="D19" s="74" t="str"/>
      <x:c r="E19" s="92" t="str"/>
      <x:c r="F19" s="74" t="str"/>
      <x:c r="G19" s="74" t="str">
        <x:v>Not Asked</x:v>
      </x:c>
      <x:c r="H19" s="74" t="str">
        <x:v>Raw</x:v>
      </x:c>
      <x:c r="I19" s="74" t="str"/>
      <x:c r="J19" s="92" t="str"/>
      <x:c r="K19" s="74" t="str">
        <x:v>No</x:v>
      </x:c>
      <x:c r="L19" s="74" t="str"/>
      <x:c r="M19" s="65" t="str"/>
    </x:row>
    <x:row r="20">
      <x:c r="A20" s="64" t="str"/>
      <x:c r="B20" s="74" t="str"/>
      <x:c r="C20" s="74" t="str"/>
      <x:c r="D20" s="74" t="str"/>
      <x:c r="E20" s="92" t="str"/>
      <x:c r="F20" s="74" t="str"/>
      <x:c r="G20" s="74" t="str">
        <x:v>Not Asked</x:v>
      </x:c>
      <x:c r="H20" s="74" t="str">
        <x:v>Raw</x:v>
      </x:c>
      <x:c r="I20" s="74" t="str"/>
      <x:c r="J20" s="92" t="str"/>
      <x:c r="K20" s="74" t="str">
        <x:v>No</x:v>
      </x:c>
      <x:c r="L20" s="74" t="str"/>
      <x:c r="M20" s="65" t="str"/>
    </x:row>
    <x:row r="21">
      <x:c r="A21" s="64" t="str"/>
      <x:c r="B21" s="74" t="str"/>
      <x:c r="C21" s="74" t="str"/>
      <x:c r="D21" s="74" t="str"/>
      <x:c r="E21" s="92" t="str"/>
      <x:c r="F21" s="74" t="str"/>
      <x:c r="G21" s="74" t="str">
        <x:v>Not Asked</x:v>
      </x:c>
      <x:c r="H21" s="74" t="str">
        <x:v>Raw</x:v>
      </x:c>
      <x:c r="I21" s="74" t="str"/>
      <x:c r="J21" s="92" t="str"/>
      <x:c r="K21" s="74" t="str">
        <x:v>No</x:v>
      </x:c>
      <x:c r="L21" s="74" t="str"/>
      <x:c r="M21" s="65" t="str"/>
    </x:row>
    <x:row r="22">
      <x:c r="A22" s="64" t="str"/>
      <x:c r="B22" s="74" t="str"/>
      <x:c r="C22" s="74" t="str"/>
      <x:c r="D22" s="74" t="str"/>
      <x:c r="E22" s="92" t="str"/>
      <x:c r="F22" s="74" t="str"/>
      <x:c r="G22" s="74" t="str">
        <x:v>Not Asked</x:v>
      </x:c>
      <x:c r="H22" s="74" t="str">
        <x:v>Raw</x:v>
      </x:c>
      <x:c r="I22" s="74" t="str"/>
      <x:c r="J22" s="92" t="str"/>
      <x:c r="K22" s="74" t="str">
        <x:v>No</x:v>
      </x:c>
      <x:c r="L22" s="74" t="str"/>
      <x:c r="M22" s="65" t="str"/>
    </x:row>
    <x:row r="23">
      <x:c r="A23" s="64" t="str"/>
      <x:c r="B23" s="74" t="str"/>
      <x:c r="C23" s="74" t="str"/>
      <x:c r="D23" s="74" t="str"/>
      <x:c r="E23" s="92" t="str"/>
      <x:c r="F23" s="74" t="str"/>
      <x:c r="G23" s="74" t="str">
        <x:v>Not Asked</x:v>
      </x:c>
      <x:c r="H23" s="74" t="str">
        <x:v>Raw</x:v>
      </x:c>
      <x:c r="I23" s="74" t="str"/>
      <x:c r="J23" s="92" t="str"/>
      <x:c r="K23" s="74" t="str">
        <x:v>No</x:v>
      </x:c>
      <x:c r="L23" s="74" t="str"/>
      <x:c r="M23" s="65" t="str"/>
    </x:row>
    <x:row r="24">
      <x:c r="A24" s="64" t="str"/>
      <x:c r="B24" s="74" t="str"/>
      <x:c r="C24" s="74" t="str"/>
      <x:c r="D24" s="74" t="str"/>
      <x:c r="E24" s="92" t="str"/>
      <x:c r="F24" s="74" t="str"/>
      <x:c r="G24" s="74" t="str">
        <x:v>Not Asked</x:v>
      </x:c>
      <x:c r="H24" s="74" t="str">
        <x:v>Raw</x:v>
      </x:c>
      <x:c r="I24" s="74" t="str"/>
      <x:c r="J24" s="92" t="str"/>
      <x:c r="K24" s="74" t="str">
        <x:v>No</x:v>
      </x:c>
      <x:c r="L24" s="74" t="str"/>
      <x:c r="M24" s="65" t="str"/>
    </x:row>
    <x:row r="25">
      <x:c r="A25" s="64" t="str"/>
      <x:c r="B25" s="74" t="str"/>
      <x:c r="C25" s="74" t="str"/>
      <x:c r="D25" s="74" t="str"/>
      <x:c r="E25" s="92" t="str"/>
      <x:c r="F25" s="74" t="str"/>
      <x:c r="G25" s="74" t="str">
        <x:v>Not Asked</x:v>
      </x:c>
      <x:c r="H25" s="74" t="str">
        <x:v>Raw</x:v>
      </x:c>
      <x:c r="I25" s="74" t="str"/>
      <x:c r="J25" s="92" t="str"/>
      <x:c r="K25" s="74" t="str">
        <x:v>No</x:v>
      </x:c>
      <x:c r="L25" s="74" t="str"/>
      <x:c r="M25" s="65" t="str"/>
    </x:row>
    <x:row r="26">
      <x:c r="A26" s="64" t="str"/>
      <x:c r="B26" s="74" t="str"/>
      <x:c r="C26" s="74" t="str"/>
      <x:c r="D26" s="74" t="str"/>
      <x:c r="E26" s="92" t="str"/>
      <x:c r="F26" s="74" t="str"/>
      <x:c r="G26" s="74" t="str">
        <x:v>Not Asked</x:v>
      </x:c>
      <x:c r="H26" s="74" t="str">
        <x:v>Raw</x:v>
      </x:c>
      <x:c r="I26" s="74" t="str"/>
      <x:c r="J26" s="92" t="str"/>
      <x:c r="K26" s="74" t="str">
        <x:v>No</x:v>
      </x:c>
      <x:c r="L26" s="74" t="str"/>
      <x:c r="M26" s="65" t="str"/>
    </x:row>
    <x:row r="27">
      <x:c r="A27" s="64" t="str"/>
      <x:c r="B27" s="74" t="str"/>
      <x:c r="C27" s="74" t="str"/>
      <x:c r="D27" s="74" t="str"/>
      <x:c r="E27" s="92" t="str"/>
      <x:c r="F27" s="74" t="str"/>
      <x:c r="G27" s="74" t="str">
        <x:v>Not Asked</x:v>
      </x:c>
      <x:c r="H27" s="74" t="str">
        <x:v>Raw</x:v>
      </x:c>
      <x:c r="I27" s="74" t="str"/>
      <x:c r="J27" s="92" t="str"/>
      <x:c r="K27" s="74" t="str">
        <x:v>No</x:v>
      </x:c>
      <x:c r="L27" s="74" t="str"/>
      <x:c r="M27" s="65" t="str"/>
    </x:row>
    <x:row r="28">
      <x:c r="A28" s="64" t="str"/>
      <x:c r="B28" s="74" t="str"/>
      <x:c r="C28" s="74" t="str"/>
      <x:c r="D28" s="74" t="str"/>
      <x:c r="E28" s="92" t="str"/>
      <x:c r="F28" s="74" t="str"/>
      <x:c r="G28" s="74" t="str">
        <x:v>Not Asked</x:v>
      </x:c>
      <x:c r="H28" s="74" t="str">
        <x:v>Raw</x:v>
      </x:c>
      <x:c r="I28" s="74" t="str"/>
      <x:c r="J28" s="92" t="str"/>
      <x:c r="K28" s="74" t="str">
        <x:v>No</x:v>
      </x:c>
      <x:c r="L28" s="74" t="str"/>
      <x:c r="M28" s="65" t="str"/>
    </x:row>
    <x:row r="29">
      <x:c r="A29" s="64" t="str"/>
      <x:c r="B29" s="74" t="str"/>
      <x:c r="C29" s="74" t="str"/>
      <x:c r="D29" s="74" t="str"/>
      <x:c r="E29" s="92" t="str"/>
      <x:c r="F29" s="74" t="str"/>
      <x:c r="G29" s="74" t="str">
        <x:v>Not Asked</x:v>
      </x:c>
      <x:c r="H29" s="74" t="str">
        <x:v>Raw</x:v>
      </x:c>
      <x:c r="I29" s="74" t="str"/>
      <x:c r="J29" s="92" t="str"/>
      <x:c r="K29" s="74" t="str">
        <x:v>No</x:v>
      </x:c>
      <x:c r="L29" s="74" t="str"/>
      <x:c r="M29" s="65" t="str"/>
    </x:row>
    <x:row r="30">
      <x:c r="A30" s="64" t="str"/>
      <x:c r="B30" s="74" t="str"/>
      <x:c r="C30" s="74" t="str"/>
      <x:c r="D30" s="74" t="str"/>
      <x:c r="E30" s="92" t="str"/>
      <x:c r="F30" s="74" t="str"/>
      <x:c r="G30" s="74" t="str">
        <x:v>Not Asked</x:v>
      </x:c>
      <x:c r="H30" s="74" t="str">
        <x:v>Raw</x:v>
      </x:c>
      <x:c r="I30" s="74" t="str"/>
      <x:c r="J30" s="92" t="str"/>
      <x:c r="K30" s="74" t="str">
        <x:v>No</x:v>
      </x:c>
      <x:c r="L30" s="74" t="str"/>
      <x:c r="M30" s="65" t="str"/>
    </x:row>
    <x:row r="31">
      <x:c r="A31" s="64" t="str"/>
      <x:c r="B31" s="74" t="str"/>
      <x:c r="C31" s="74" t="str"/>
      <x:c r="D31" s="74" t="str"/>
      <x:c r="E31" s="92" t="str"/>
      <x:c r="F31" s="74" t="str"/>
      <x:c r="G31" s="74" t="str">
        <x:v>Not Asked</x:v>
      </x:c>
      <x:c r="H31" s="74" t="str">
        <x:v>Raw</x:v>
      </x:c>
      <x:c r="I31" s="74" t="str"/>
      <x:c r="J31" s="92" t="str"/>
      <x:c r="K31" s="74" t="str">
        <x:v>No</x:v>
      </x:c>
      <x:c r="L31" s="74" t="str"/>
      <x:c r="M31" s="65" t="str"/>
    </x:row>
    <x:row r="32">
      <x:c r="A32" s="64" t="str"/>
      <x:c r="B32" s="74" t="str"/>
      <x:c r="C32" s="74" t="str"/>
      <x:c r="D32" s="74" t="str"/>
      <x:c r="E32" s="92" t="str"/>
      <x:c r="F32" s="74" t="str"/>
      <x:c r="G32" s="74" t="str">
        <x:v>Not Asked</x:v>
      </x:c>
      <x:c r="H32" s="74" t="str">
        <x:v>Raw</x:v>
      </x:c>
      <x:c r="I32" s="74" t="str"/>
      <x:c r="J32" s="92" t="str"/>
      <x:c r="K32" s="74" t="str">
        <x:v>No</x:v>
      </x:c>
      <x:c r="L32" s="74" t="str"/>
      <x:c r="M32" s="65" t="str"/>
    </x:row>
    <x:row r="33">
      <x:c r="A33" s="64" t="str"/>
      <x:c r="B33" s="74" t="str"/>
      <x:c r="C33" s="74" t="str"/>
      <x:c r="D33" s="74" t="str"/>
      <x:c r="E33" s="92" t="str"/>
      <x:c r="F33" s="74" t="str"/>
      <x:c r="G33" s="74" t="str">
        <x:v>Not Asked</x:v>
      </x:c>
      <x:c r="H33" s="74" t="str">
        <x:v>Raw</x:v>
      </x:c>
      <x:c r="I33" s="74" t="str"/>
      <x:c r="J33" s="92" t="str"/>
      <x:c r="K33" s="74" t="str">
        <x:v>No</x:v>
      </x:c>
      <x:c r="L33" s="74" t="str"/>
      <x:c r="M33" s="65" t="str"/>
    </x:row>
    <x:row r="34">
      <x:c r="A34" s="64" t="str"/>
      <x:c r="B34" s="74" t="str"/>
      <x:c r="C34" s="74" t="str"/>
      <x:c r="D34" s="74" t="str"/>
      <x:c r="E34" s="92" t="str"/>
      <x:c r="F34" s="74" t="str"/>
      <x:c r="G34" s="74" t="str">
        <x:v>Not Asked</x:v>
      </x:c>
      <x:c r="H34" s="74" t="str">
        <x:v>Raw</x:v>
      </x:c>
      <x:c r="I34" s="74" t="str"/>
      <x:c r="J34" s="92" t="str"/>
      <x:c r="K34" s="74" t="str">
        <x:v>No</x:v>
      </x:c>
      <x:c r="L34" s="74" t="str"/>
      <x:c r="M34" s="65" t="str"/>
    </x:row>
    <x:row r="35">
      <x:c r="A35" s="64" t="str"/>
      <x:c r="B35" s="74" t="str"/>
      <x:c r="C35" s="74" t="str"/>
      <x:c r="D35" s="74" t="str"/>
      <x:c r="E35" s="92" t="str"/>
      <x:c r="F35" s="74" t="str"/>
      <x:c r="G35" s="74" t="str">
        <x:v>Not Asked</x:v>
      </x:c>
      <x:c r="H35" s="74" t="str">
        <x:v>Raw</x:v>
      </x:c>
      <x:c r="I35" s="74" t="str"/>
      <x:c r="J35" s="92" t="str"/>
      <x:c r="K35" s="74" t="str">
        <x:v>No</x:v>
      </x:c>
      <x:c r="L35" s="74" t="str"/>
      <x:c r="M35" s="65" t="str"/>
    </x:row>
    <x:row r="36">
      <x:c r="A36" s="64" t="str"/>
      <x:c r="B36" s="74" t="str"/>
      <x:c r="C36" s="74" t="str"/>
      <x:c r="D36" s="74" t="str"/>
      <x:c r="E36" s="92" t="str"/>
      <x:c r="F36" s="74" t="str"/>
      <x:c r="G36" s="74" t="str">
        <x:v>Not Asked</x:v>
      </x:c>
      <x:c r="H36" s="74" t="str">
        <x:v>Raw</x:v>
      </x:c>
      <x:c r="I36" s="74" t="str"/>
      <x:c r="J36" s="92" t="str"/>
      <x:c r="K36" s="74" t="str">
        <x:v>No</x:v>
      </x:c>
      <x:c r="L36" s="74" t="str"/>
      <x:c r="M36" s="65" t="str"/>
    </x:row>
    <x:row r="37">
      <x:c r="A37" s="64" t="str"/>
      <x:c r="B37" s="74" t="str"/>
      <x:c r="C37" s="74" t="str"/>
      <x:c r="D37" s="74" t="str"/>
      <x:c r="E37" s="92" t="str"/>
      <x:c r="F37" s="74" t="str"/>
      <x:c r="G37" s="74" t="str">
        <x:v>Not Asked</x:v>
      </x:c>
      <x:c r="H37" s="74" t="str">
        <x:v>Raw</x:v>
      </x:c>
      <x:c r="I37" s="74" t="str"/>
      <x:c r="J37" s="92" t="str"/>
      <x:c r="K37" s="74" t="str">
        <x:v>No</x:v>
      </x:c>
      <x:c r="L37" s="74" t="str"/>
      <x:c r="M37" s="65" t="str"/>
    </x:row>
    <x:row r="38">
      <x:c r="A38" s="66" t="str"/>
      <x:c r="B38" s="75" t="str"/>
      <x:c r="C38" s="75" t="str"/>
      <x:c r="D38" s="75" t="str"/>
      <x:c r="E38" s="93" t="str"/>
      <x:c r="F38" s="75" t="str"/>
      <x:c r="G38" s="75" t="str">
        <x:v>Not Asked</x:v>
      </x:c>
      <x:c r="H38" s="75" t="str">
        <x:v>Raw</x:v>
      </x:c>
      <x:c r="I38" s="75" t="str"/>
      <x:c r="J38" s="93" t="str"/>
      <x:c r="K38" s="75" t="str">
        <x:v>No</x:v>
      </x:c>
      <x:c r="L38" s="75" t="str"/>
      <x:c r="M38" s="67" t="str"/>
    </x:row>
  </x:sheetData>
  <x:dataValidations count="5">
    <x:dataValidation type="list" allowBlank="1" showDropDown="0" sqref="C4:C38">
      <x:formula1>"TikTok,Instagram,YouTube,Snapchat,Reddit,Other"</x:formula1>
    </x:dataValidation>
    <x:dataValidation type="list" allowBlank="1" showDropDown="0" sqref="D4:D38">
      <x:formula1>"Proof Card,Pushup Clip,Reaction,Creator Review,Challenge Montage,Comment"</x:formula1>
    </x:dataValidation>
    <x:dataValidation type="list" allowBlank="0" showDropDown="0" sqref="G4:G38">
      <x:formula1>"Not Asked,Requested,Approved Organic,Approved Paid,Denied"</x:formula1>
    </x:dataValidation>
    <x:dataValidation type="list" allowBlank="0" showDropDown="0" sqref="H4:H38">
      <x:formula1>"Raw,Needs Edit,Edited,Captioned,Scheduled,Posted"</x:formula1>
    </x:dataValidation>
    <x:dataValidation type="list" allowBlank="0" showDropDown="0" sqref="K4:K38">
      <x:formula1>"No,Candidate,Yes"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4.540000915527344" hidden="0" customWidth="1"/>
    <x:col min="3" max="3" width="19.020000457763672" hidden="0" customWidth="1"/>
    <x:col min="4" max="4" width="29.450000762939453" hidden="0" customWidth="1"/>
    <x:col min="5" max="5" width="29.450000762939453" hidden="0" customWidth="1"/>
    <x:col min="6" max="6" width="17.790000915527344" hidden="0" customWidth="1"/>
    <x:col min="7" max="7" width="22.09000015258789" hidden="0" customWidth="1"/>
    <x:col min="8" max="8" width="16.559999465942383" hidden="0" customWidth="1"/>
    <x:col min="9" max="9" width="17.790000915527344" hidden="0" customWidth="1"/>
    <x:col min="10" max="10" width="19.6299991607666" hidden="0" customWidth="1"/>
    <x:col min="11" max="11" width="27.610000610351562" hidden="0" customWidth="1"/>
    <x:col min="12" max="12" width="12.270000457763672" hidden="0" customWidth="1"/>
  </x:cols>
  <x:sheetData>
    <x:row r="1" ht="31.5" customHeight="1">
      <x:c r="A1" s="8" t="str">
        <x:v>Weekly Challenge Calendar - Launch, Referral and Sponsor Moments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10" t="str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Week</x:v>
      </x:c>
      <x:c r="B3" s="26" t="str">
        <x:v>Challenge Name</x:v>
      </x:c>
      <x:c r="C3" s="26" t="str">
        <x:v>Audience</x:v>
      </x:c>
      <x:c r="D3" s="26" t="str">
        <x:v>Promise / Angle</x:v>
      </x:c>
      <x:c r="E3" s="26" t="str">
        <x:v>Kickoff Hook</x:v>
      </x:c>
      <x:c r="F3" s="26" t="str">
        <x:v>Reward / Badge</x:v>
      </x:c>
      <x:c r="G3" s="26" t="str">
        <x:v>Channels</x:v>
      </x:c>
      <x:c r="H3" s="26" t="str">
        <x:v>Primary CTA</x:v>
      </x:c>
      <x:c r="I3" s="26" t="str">
        <x:v>Creator Partner</x:v>
      </x:c>
      <x:c r="J3" s="26" t="str">
        <x:v>KPI</x:v>
      </x:c>
      <x:c r="K3" s="26" t="str">
        <x:v>Asset Checklist</x:v>
      </x:c>
      <x:c r="L3" s="27" t="str">
        <x:v>Status</x:v>
      </x:c>
    </x:row>
    <x:row r="4">
      <x:c r="A4" s="62" t="n">
        <x:v>1</x:v>
      </x:c>
      <x:c r="B4" s="73" t="str">
        <x:v>Founder Beta Dare</x:v>
      </x:c>
      <x:c r="C4" s="73" t="str">
        <x:v>Beta testers and friends</x:v>
      </x:c>
      <x:c r="D4" s="73" t="str">
        <x:v>Make the product instantly legible and recruit the first tester cohort.</x:v>
      </x:c>
      <x:c r="E4" s="73" t="str">
        <x:v>Founder hook variants: annoying app vs one-set challenge vs camera proof.</x:v>
      </x:c>
      <x:c r="F4" s="73" t="str">
        <x:v>Badge, repost, or proof-card feature</x:v>
      </x:c>
      <x:c r="G4" s="73" t="str">
        <x:v>TikTok, Reels, Shorts, Stories</x:v>
      </x:c>
      <x:c r="H4" s="73" t="str">
        <x:v>Download beta / comment 20 / join Day 1</x:v>
      </x:c>
      <x:c r="I4" s="73" t="str">
        <x:v>Founder-led</x:v>
      </x:c>
      <x:c r="J4" s="73" t="str">
        <x:v>Installs + first workouts + shares</x:v>
      </x:c>
      <x:c r="K4" s="73" t="str">
        <x:v>Kickoff clip, receipt template, Story prompt, creator DM, pinned comment</x:v>
      </x:c>
      <x:c r="L4" s="63" t="str">
        <x:v>Planned</x:v>
      </x:c>
    </x:row>
    <x:row r="5">
      <x:c r="A5" s="64" t="n">
        <x:v>2</x:v>
      </x:c>
      <x:c r="B5" s="74" t="str">
        <x:v>7-Day No-Excuses Challenge</x:v>
      </x:c>
      <x:c r="C5" s="74" t="str">
        <x:v>Beta testers and friends</x:v>
      </x:c>
      <x:c r="D5" s="74" t="str">
        <x:v>Turn installs into first workout completions and first friend tags.</x:v>
      </x:c>
      <x:c r="E5" s="74" t="str">
        <x:v>Challenge headline test: no excuses vs app will annoy you vs prove it.</x:v>
      </x:c>
      <x:c r="F5" s="74" t="str">
        <x:v>Badge, repost, or proof-card feature</x:v>
      </x:c>
      <x:c r="G5" s="74" t="str">
        <x:v>TikTok, Reels, Shorts, Stories</x:v>
      </x:c>
      <x:c r="H5" s="74" t="str">
        <x:v>Start the 7-day challenge today</x:v>
      </x:c>
      <x:c r="I5" s="74" t="str">
        <x:v>Founder-led</x:v>
      </x:c>
      <x:c r="J5" s="74" t="str">
        <x:v>Installs + first workouts + shares</x:v>
      </x:c>
      <x:c r="K5" s="74" t="str">
        <x:v>Kickoff clip, receipt template, Story prompt, creator DM, pinned comment</x:v>
      </x:c>
      <x:c r="L5" s="65" t="str">
        <x:v>Planned</x:v>
      </x:c>
    </x:row>
    <x:row r="6">
      <x:c r="A6" s="64" t="n">
        <x:v>3</x:v>
      </x:c>
      <x:c r="B6" s="74" t="str">
        <x:v>Proof Card Week</x:v>
      </x:c>
      <x:c r="C6" s="74" t="str">
        <x:v>Beta testers and friends</x:v>
      </x:c>
      <x:c r="D6" s="74" t="str">
        <x:v>Make every workout completion feel like a shareable receipt.</x:v>
      </x:c>
      <x:c r="E6" s="74" t="str">
        <x:v>Receipt formats: day number, speed, badge unlock, friend challenge.</x:v>
      </x:c>
      <x:c r="F6" s="74" t="str">
        <x:v>Badge, repost, or proof-card feature</x:v>
      </x:c>
      <x:c r="G6" s="74" t="str">
        <x:v>TikTok, Reels, Shorts, Stories</x:v>
      </x:c>
      <x:c r="H6" s="74" t="str">
        <x:v>Post your Day card and tag Just20</x:v>
      </x:c>
      <x:c r="I6" s="74" t="str">
        <x:v>Founder-led</x:v>
      </x:c>
      <x:c r="J6" s="74" t="str">
        <x:v>Installs + first workouts + shares</x:v>
      </x:c>
      <x:c r="K6" s="74" t="str">
        <x:v>Kickoff clip, receipt template, Story prompt, creator DM, pinned comment</x:v>
      </x:c>
      <x:c r="L6" s="65" t="str">
        <x:v>Planned</x:v>
      </x:c>
    </x:row>
    <x:row r="7">
      <x:c r="A7" s="64" t="n">
        <x:v>4</x:v>
      </x:c>
      <x:c r="B7" s="74" t="str">
        <x:v>Creator Code Cup</x:v>
      </x:c>
      <x:c r="C7" s="74" t="str">
        <x:v>Creators and early users</x:v>
      </x:c>
      <x:c r="D7" s="74" t="str">
        <x:v>Seed creators and convert comment demand into invite-code installs.</x:v>
      </x:c>
      <x:c r="E7" s="74" t="str">
        <x:v>Creator vertical test: fitness, college, comedy, productivity.</x:v>
      </x:c>
      <x:c r="F7" s="74" t="str">
        <x:v>Badge, repost, or proof-card feature</x:v>
      </x:c>
      <x:c r="G7" s="74" t="str">
        <x:v>TikTok, Reels, Shorts, Stories</x:v>
      </x:c>
      <x:c r="H7" s="74" t="str">
        <x:v>Use creator code and beat their day streak</x:v>
      </x:c>
      <x:c r="I7" s="74" t="str">
        <x:v>Target 5-10 micro creators</x:v>
      </x:c>
      <x:c r="J7" s="74" t="str">
        <x:v>Installs + first workouts + shares</x:v>
      </x:c>
      <x:c r="K7" s="74" t="str">
        <x:v>Kickoff clip, receipt template, Story prompt, creator DM, pinned comment</x:v>
      </x:c>
      <x:c r="L7" s="65" t="str">
        <x:v>Planned</x:v>
      </x:c>
    </x:row>
    <x:row r="8">
      <x:c r="A8" s="64" t="n">
        <x:v>5</x:v>
      </x:c>
      <x:c r="B8" s="74" t="str">
        <x:v>Clean Rep Week</x:v>
      </x:c>
      <x:c r="C8" s="74" t="str">
        <x:v>Creators and early users</x:v>
      </x:c>
      <x:c r="D8" s="74" t="str">
        <x:v>Prove the body-tracking wedge and make camera tracking feel trustworthy.</x:v>
      </x:c>
      <x:c r="E8" s="74" t="str">
        <x:v>Camera overlay demos vs fail/recover calibration demos.</x:v>
      </x:c>
      <x:c r="F8" s="74" t="str">
        <x:v>Badge, repost, or proof-card feature</x:v>
      </x:c>
      <x:c r="G8" s="74" t="str">
        <x:v>TikTok, Reels, Shorts, Stories</x:v>
      </x:c>
      <x:c r="H8" s="74" t="str">
        <x:v>Try the clean-rep counter</x:v>
      </x:c>
      <x:c r="I8" s="74" t="str">
        <x:v>Target 5-10 micro creators</x:v>
      </x:c>
      <x:c r="J8" s="74" t="str">
        <x:v>Installs + first workouts + shares</x:v>
      </x:c>
      <x:c r="K8" s="74" t="str">
        <x:v>Kickoff clip, receipt template, Story prompt, creator DM, pinned comment</x:v>
      </x:c>
      <x:c r="L8" s="65" t="str">
        <x:v>Planned</x:v>
      </x:c>
    </x:row>
    <x:row r="9">
      <x:c r="A9" s="64" t="n">
        <x:v>6</x:v>
      </x:c>
      <x:c r="B9" s="74" t="str">
        <x:v>Day 7 Wall of Fame</x:v>
      </x:c>
      <x:c r="C9" s="74" t="str">
        <x:v>Creators and early users</x:v>
      </x:c>
      <x:c r="D9" s="74" t="str">
        <x:v>Make Day 3, Day 7, Day 14 and badge unlocks feel worth showing off.</x:v>
      </x:c>
      <x:c r="E9" s="74" t="str">
        <x:v>Badge reveal afterglow vs streak loss avoidance vs friend streak.</x:v>
      </x:c>
      <x:c r="F9" s="74" t="str">
        <x:v>Badge, repost, or proof-card feature</x:v>
      </x:c>
      <x:c r="G9" s="74" t="str">
        <x:v>TikTok, Reels, Shorts, Stories</x:v>
      </x:c>
      <x:c r="H9" s="74" t="str">
        <x:v>Get to Day 7 and unlock the receipt</x:v>
      </x:c>
      <x:c r="I9" s="74" t="str">
        <x:v>Target 5-10 micro creators</x:v>
      </x:c>
      <x:c r="J9" s="74" t="str">
        <x:v>Installs + first workouts + shares</x:v>
      </x:c>
      <x:c r="K9" s="74" t="str">
        <x:v>Kickoff clip, receipt template, Story prompt, creator DM, pinned comment</x:v>
      </x:c>
      <x:c r="L9" s="65" t="str">
        <x:v>Planned</x:v>
      </x:c>
    </x:row>
    <x:row r="10">
      <x:c r="A10" s="64" t="n">
        <x:v>7</x:v>
      </x:c>
      <x:c r="B10" s="74" t="str">
        <x:v>Coin Chest Week</x:v>
      </x:c>
      <x:c r="C10" s="74" t="str">
        <x:v>Creators and early users</x:v>
      </x:c>
      <x:c r="D10" s="74" t="str">
        <x:v>Explain why users earn XP/coins and make repeat usage feel collectible.</x:v>
      </x:c>
      <x:c r="E10" s="74" t="str">
        <x:v>Coin shop reveals, chest openings, freeze refill drama.</x:v>
      </x:c>
      <x:c r="F10" s="74" t="str">
        <x:v>Coins / shop reveal</x:v>
      </x:c>
      <x:c r="G10" s="74" t="str">
        <x:v>TikTok, Reels, Shorts, Stories</x:v>
      </x:c>
      <x:c r="H10" s="74" t="str">
        <x:v>Earn coins by doing today, not by buying XP</x:v>
      </x:c>
      <x:c r="I10" s="74" t="str">
        <x:v>Target 5-10 micro creators</x:v>
      </x:c>
      <x:c r="J10" s="74" t="str">
        <x:v>Installs + first workouts + shares</x:v>
      </x:c>
      <x:c r="K10" s="74" t="str">
        <x:v>Kickoff clip, receipt template, Story prompt, creator DM, pinned comment</x:v>
      </x:c>
      <x:c r="L10" s="65" t="str">
        <x:v>Planned</x:v>
      </x:c>
    </x:row>
    <x:row r="11">
      <x:c r="A11" s="64" t="n">
        <x:v>8</x:v>
      </x:c>
      <x:c r="B11" s="74" t="str">
        <x:v>Squad Week</x:v>
      </x:c>
      <x:c r="C11" s="74" t="str">
        <x:v>Groups and local sponsors</x:v>
      </x:c>
      <x:c r="D11" s="74" t="str">
        <x:v>Shift from solo challenge to friend-group ritual.</x:v>
      </x:c>
      <x:c r="E11" s="74" t="str">
        <x:v>Office squad vs college dorm vs gym group vs couple challenge.</x:v>
      </x:c>
      <x:c r="F11" s="74" t="str">
        <x:v>Badge, repost, or proof-card feature</x:v>
      </x:c>
      <x:c r="G11" s="74" t="str">
        <x:v>TikTok, Reels, Shorts, Stories</x:v>
      </x:c>
      <x:c r="H11" s="74" t="str">
        <x:v>Start a squad and make one friend accountable</x:v>
      </x:c>
      <x:c r="I11" s="74" t="str">
        <x:v>Target 5-10 micro creators</x:v>
      </x:c>
      <x:c r="J11" s="74" t="str">
        <x:v>Installs + first workouts + shares</x:v>
      </x:c>
      <x:c r="K11" s="74" t="str">
        <x:v>Kickoff clip, receipt template, Story prompt, creator DM, pinned comment</x:v>
      </x:c>
      <x:c r="L11" s="65" t="str">
        <x:v>Planned</x:v>
      </x:c>
    </x:row>
    <x:row r="12">
      <x:c r="A12" s="64" t="n">
        <x:v>9</x:v>
      </x:c>
      <x:c r="B12" s="74" t="str">
        <x:v>Daily Dare Week</x:v>
      </x:c>
      <x:c r="C12" s="74" t="str">
        <x:v>Groups and local sponsors</x:v>
      </x:c>
      <x:c r="D12" s="74" t="str">
        <x:v>Differentiate Just20 from general workout libraries and AI coaches.</x:v>
      </x:c>
      <x:c r="E12" s="74" t="str">
        <x:v>Conquest angles: 7-minute workouts vs one set, AI coach vs no excuses.</x:v>
      </x:c>
      <x:c r="F12" s="74" t="str">
        <x:v>Badge, repost, or proof-card feature</x:v>
      </x:c>
      <x:c r="G12" s="74" t="str">
        <x:v>TikTok, Reels, Shorts, Stories</x:v>
      </x:c>
      <x:c r="H12" s="74" t="str">
        <x:v>Delete choice. Do the 20.</x:v>
      </x:c>
      <x:c r="I12" s="74" t="str">
        <x:v>Target 5-10 micro creators</x:v>
      </x:c>
      <x:c r="J12" s="74" t="str">
        <x:v>Installs + first workouts + shares</x:v>
      </x:c>
      <x:c r="K12" s="74" t="str">
        <x:v>Kickoff clip, receipt template, Story prompt, creator DM, pinned comment</x:v>
      </x:c>
      <x:c r="L12" s="65" t="str">
        <x:v>Planned</x:v>
      </x:c>
    </x:row>
    <x:row r="13">
      <x:c r="A13" s="64" t="n">
        <x:v>10</x:v>
      </x:c>
      <x:c r="B13" s="74" t="str">
        <x:v>Sponsor Prototype Week</x:v>
      </x:c>
      <x:c r="C13" s="74" t="str">
        <x:v>Groups and local sponsors</x:v>
      </x:c>
      <x:c r="D13" s="74" t="str">
        <x:v>Validate reward/challenge inventory with local or creator sponsors.</x:v>
      </x:c>
      <x:c r="E13" s="74" t="str">
        <x:v>Local gym, protein brand, college club and creator bounty offers.</x:v>
      </x:c>
      <x:c r="F13" s="74" t="str">
        <x:v>Sponsor reward</x:v>
      </x:c>
      <x:c r="G13" s="74" t="str">
        <x:v>TikTok, Reels, Shorts, Stories</x:v>
      </x:c>
      <x:c r="H13" s="74" t="str">
        <x:v>Complete the sponsored 7-day pushup challenge</x:v>
      </x:c>
      <x:c r="I13" s="74" t="str">
        <x:v>Target 5-10 micro creators</x:v>
      </x:c>
      <x:c r="J13" s="74" t="str">
        <x:v>Installs + first workouts + shares</x:v>
      </x:c>
      <x:c r="K13" s="74" t="str">
        <x:v>Kickoff clip, receipt template, Story prompt, creator DM, pinned comment</x:v>
      </x:c>
      <x:c r="L13" s="65" t="str">
        <x:v>Planned</x:v>
      </x:c>
    </x:row>
    <x:row r="14">
      <x:c r="A14" s="64" t="n">
        <x:v>11</x:v>
      </x:c>
      <x:c r="B14" s="74" t="str">
        <x:v>Invite 3 Sprint</x:v>
      </x:c>
      <x:c r="C14" s="74" t="str">
        <x:v>Broad audience</x:v>
      </x:c>
      <x:c r="D14" s="74" t="str">
        <x:v>Make users bring friends for status, badges and visible identity.</x:v>
      </x:c>
      <x:c r="E14" s="74" t="str">
        <x:v>Badge-driven referral copy vs squad challenge copy vs leaderboard copy.</x:v>
      </x:c>
      <x:c r="F14" s="74" t="str">
        <x:v>Referral badges</x:v>
      </x:c>
      <x:c r="G14" s="74" t="str">
        <x:v>TikTok, Reels, Shorts, Stories</x:v>
      </x:c>
      <x:c r="H14" s="74" t="str">
        <x:v>Invite 3 friends before Sunday</x:v>
      </x:c>
      <x:c r="I14" s="74" t="str">
        <x:v>Target 5-10 micro creators</x:v>
      </x:c>
      <x:c r="J14" s="74" t="str">
        <x:v>Installs + first workouts + shares</x:v>
      </x:c>
      <x:c r="K14" s="74" t="str">
        <x:v>Kickoff clip, receipt template, Story prompt, creator DM, pinned comment</x:v>
      </x:c>
      <x:c r="L14" s="65" t="str">
        <x:v>Planned</x:v>
      </x:c>
    </x:row>
    <x:row r="15">
      <x:c r="A15" s="66" t="n">
        <x:v>12</x:v>
      </x:c>
      <x:c r="B15" s="75" t="str">
        <x:v>Breakout Week</x:v>
      </x:c>
      <x:c r="C15" s="75" t="str">
        <x:v>Broad audience</x:v>
      </x:c>
      <x:c r="D15" s="75" t="str">
        <x:v>Scale winners with Spark/Reels/Shorts-ready creative while keeping organic cadence high.</x:v>
      </x:c>
      <x:c r="E15" s="75" t="str">
        <x:v>Amplify top 5 hooks; cut losers; convert best UGC into ads with permission.</x:v>
      </x:c>
      <x:c r="F15" s="75" t="str">
        <x:v>Badge, repost, or proof-card feature</x:v>
      </x:c>
      <x:c r="G15" s="75" t="str">
        <x:v>TikTok, Reels, Shorts, Stories</x:v>
      </x:c>
      <x:c r="H15" s="75" t="str">
        <x:v>Download today and protect Day 1</x:v>
      </x:c>
      <x:c r="I15" s="75" t="str">
        <x:v>Target 5-10 micro creators</x:v>
      </x:c>
      <x:c r="J15" s="75" t="str">
        <x:v>Installs + first workouts + shares</x:v>
      </x:c>
      <x:c r="K15" s="75" t="str">
        <x:v>Kickoff clip, receipt template, Story prompt, creator DM, pinned comment</x:v>
      </x:c>
      <x:c r="L15" s="67" t="str">
        <x:v>Planned</x:v>
      </x:c>
    </x:row>
  </x:sheetData>
  <x:dataValidations count="1">
    <x:dataValidation type="list" allowBlank="0" showDropDown="0" sqref="L4:L15">
      <x:formula1>"Planned,Live,Measured,Repeated,Cut"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25.149999618530273" hidden="0" customWidth="1"/>
    <x:col min="7" max="7" width="14.109999656677246" hidden="0" customWidth="1"/>
    <x:col min="8" max="8" width="14.109999656677246" hidden="0" customWidth="1"/>
    <x:col min="9" max="9" width="17.790000915527344" hidden="0" customWidth="1"/>
    <x:col min="10" max="10" width="26.3799991607666" hidden="0" customWidth="1"/>
    <x:col min="11" max="11" width="26.3799991607666" hidden="0" customWidth="1"/>
    <x:col min="12" max="12" width="11.65999984741211" hidden="0" customWidth="1"/>
  </x:cols>
  <x:sheetData>
    <x:row r="1" ht="31.5" customHeight="1">
      <x:c r="A1" s="8" t="str">
        <x:v>Paid Amplification Plan - Only Scale Proven Organic Winners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9" t="str"/>
      <x:c r="K1" s="9" t="str"/>
      <x:c r="L1" s="10" t="str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Week</x:v>
      </x:c>
      <x:c r="B3" s="26" t="str">
        <x:v>Eligible Creative</x:v>
      </x:c>
      <x:c r="C3" s="26" t="str">
        <x:v>Platform</x:v>
      </x:c>
      <x:c r="D3" s="26" t="str">
        <x:v>Objective</x:v>
      </x:c>
      <x:c r="E3" s="26" t="str">
        <x:v>Budget</x:v>
      </x:c>
      <x:c r="F3" s="26" t="str">
        <x:v>Audience / Ad Group</x:v>
      </x:c>
      <x:c r="G3" s="26" t="str">
        <x:v>Spend Cap</x:v>
      </x:c>
      <x:c r="H3" s="26" t="str">
        <x:v>Target CPI</x:v>
      </x:c>
      <x:c r="I3" s="26" t="str">
        <x:v>KPI Target</x:v>
      </x:c>
      <x:c r="J3" s="26" t="str">
        <x:v>Kill Rule</x:v>
      </x:c>
      <x:c r="K3" s="26" t="str">
        <x:v>Scale Rule</x:v>
      </x:c>
      <x:c r="L3" s="27" t="str">
        <x:v>Status</x:v>
      </x:c>
    </x:row>
    <x:row r="4">
      <x:c r="A4" s="62" t="n">
        <x:v>8</x:v>
      </x:c>
      <x:c r="B4" s="73" t="str">
        <x:v>Top organic proof-card post</x:v>
      </x:c>
      <x:c r="C4" s="73" t="str">
        <x:v>TikTok Spark</x:v>
      </x:c>
      <x:c r="D4" s="73" t="str">
        <x:v>App installs</x:v>
      </x:c>
      <x:c r="E4" s="88" t="n">
        <x:v>250</x:v>
      </x:c>
      <x:c r="F4" s="88" t="str">
        <x:v>Lookalike/interests from engaged viewers</x:v>
      </x:c>
      <x:c r="G4" s="88" t="n">
        <x:v>50</x:v>
      </x:c>
      <x:c r="H4" s="88" t="n">
        <x:v>1.5</x:v>
      </x:c>
      <x:c r="I4" s="73" t="str">
        <x:v>CPI &lt;$1.50 and activation &gt;45%</x:v>
      </x:c>
      <x:c r="J4" s="73" t="str">
        <x:v>Pause after $50 if CPI &gt;$3 or activation &lt;25%</x:v>
      </x:c>
      <x:c r="K4" s="73" t="str">
        <x:v>Double budget if CPI &lt;$1.25 after 30 installs</x:v>
      </x:c>
      <x:c r="L4" s="63" t="str">
        <x:v>Planned</x:v>
      </x:c>
    </x:row>
    <x:row r="5">
      <x:c r="A5" s="64" t="n">
        <x:v>9</x:v>
      </x:c>
      <x:c r="B5" s="74" t="str">
        <x:v>Best category-claim post</x:v>
      </x:c>
      <x:c r="C5" s="74" t="str">
        <x:v>Reels Boost</x:v>
      </x:c>
      <x:c r="D5" s="74" t="str">
        <x:v>Profile/install clicks</x:v>
      </x:c>
      <x:c r="E5" s="89" t="n">
        <x:v>300</x:v>
      </x:c>
      <x:c r="F5" s="89" t="str">
        <x:v>Fitness beginners + productivity + college</x:v>
      </x:c>
      <x:c r="G5" s="89" t="n">
        <x:v>75</x:v>
      </x:c>
      <x:c r="H5" s="89" t="n">
        <x:v>1.75</x:v>
      </x:c>
      <x:c r="I5" s="74" t="str">
        <x:v>CTR &gt;1.2%, activation &gt;40%</x:v>
      </x:c>
      <x:c r="J5" s="74" t="str">
        <x:v>Cut if thumbstop below organic median</x:v>
      </x:c>
      <x:c r="K5" s="74" t="str">
        <x:v>Cut 3 new hooks from winner</x:v>
      </x:c>
      <x:c r="L5" s="65" t="str">
        <x:v>Planned</x:v>
      </x:c>
    </x:row>
    <x:row r="6">
      <x:c r="A6" s="64" t="n">
        <x:v>10</x:v>
      </x:c>
      <x:c r="B6" s="74" t="str">
        <x:v>Sponsor challenge winner</x:v>
      </x:c>
      <x:c r="C6" s="74" t="str">
        <x:v>TikTok/Reels</x:v>
      </x:c>
      <x:c r="D6" s="74" t="str">
        <x:v>Challenge joins</x:v>
      </x:c>
      <x:c r="E6" s="89" t="n">
        <x:v>500</x:v>
      </x:c>
      <x:c r="F6" s="89" t="str">
        <x:v>Local geo or creator audience</x:v>
      </x:c>
      <x:c r="G6" s="89" t="n">
        <x:v>100</x:v>
      </x:c>
      <x:c r="H6" s="89" t="n">
        <x:v>2.25</x:v>
      </x:c>
      <x:c r="I6" s="74" t="str">
        <x:v>Challenge join CPA &lt;$4</x:v>
      </x:c>
      <x:c r="J6" s="74" t="str">
        <x:v>Cut if comments are confused or negative</x:v>
      </x:c>
      <x:c r="K6" s="74" t="str">
        <x:v>Add sponsor landing variant</x:v>
      </x:c>
      <x:c r="L6" s="65" t="str">
        <x:v>Planned</x:v>
      </x:c>
    </x:row>
    <x:row r="7">
      <x:c r="A7" s="64" t="n">
        <x:v>11</x:v>
      </x:c>
      <x:c r="B7" s="74" t="str">
        <x:v>Referral badge creative</x:v>
      </x:c>
      <x:c r="C7" s="74" t="str">
        <x:v>TikTok Spark</x:v>
      </x:c>
      <x:c r="D7" s="74" t="str">
        <x:v>App installs</x:v>
      </x:c>
      <x:c r="E7" s="89" t="n">
        <x:v>700</x:v>
      </x:c>
      <x:c r="F7" s="89" t="str">
        <x:v>Friend-group interests, campus, creator audiences</x:v>
      </x:c>
      <x:c r="G7" s="89" t="n">
        <x:v>150</x:v>
      </x:c>
      <x:c r="H7" s="89" t="n">
        <x:v>2</x:v>
      </x:c>
      <x:c r="I7" s="74" t="str">
        <x:v>Invites/install &gt;0.35</x:v>
      </x:c>
      <x:c r="J7" s="74" t="str">
        <x:v>Cut if install volume lacks invites</x:v>
      </x:c>
      <x:c r="K7" s="74" t="str">
        <x:v>Scale with creator whitelisting</x:v>
      </x:c>
      <x:c r="L7" s="65" t="str">
        <x:v>Planned</x:v>
      </x:c>
    </x:row>
    <x:row r="8">
      <x:c r="A8" s="66" t="n">
        <x:v>12</x:v>
      </x:c>
      <x:c r="B8" s="75" t="str">
        <x:v>Top 5 organic winners</x:v>
      </x:c>
      <x:c r="C8" s="75" t="str">
        <x:v>Mixed</x:v>
      </x:c>
      <x:c r="D8" s="75" t="str">
        <x:v>App installs</x:v>
      </x:c>
      <x:c r="E8" s="90" t="n">
        <x:v>1500</x:v>
      </x:c>
      <x:c r="F8" s="90" t="str">
        <x:v>Winners by platform; no blended mush</x:v>
      </x:c>
      <x:c r="G8" s="90" t="n">
        <x:v>250</x:v>
      </x:c>
      <x:c r="H8" s="90" t="n">
        <x:v>2</x:v>
      </x:c>
      <x:c r="I8" s="75" t="str">
        <x:v>CPI &lt;$2, activation &gt;45%, proof shares/install &gt;10%</x:v>
      </x:c>
      <x:c r="J8" s="75" t="str">
        <x:v>Kill lowest two after 48 hours</x:v>
      </x:c>
      <x:c r="K8" s="75" t="str">
        <x:v>Shift 70% budget to top two</x:v>
      </x:c>
      <x:c r="L8" s="67" t="str">
        <x:v>Planned</x:v>
      </x:c>
    </x:row>
  </x:sheetData>
  <x:dataValidations count="1">
    <x:dataValidation type="list" allowBlank="0" showDropDown="0" sqref="L4:L8">
      <x:formula1>"Planned,Live,Paused,Scaled,Cut"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41.099998474121094" hidden="0" customWidth="1"/>
    <x:col min="3" max="3" width="41.099998474121094" hidden="0" customWidth="1"/>
    <x:col min="4" max="4" width="20.25" hidden="0" customWidth="1"/>
    <x:col min="5" max="5" width="10.430000305175781" hidden="0" customWidth="1"/>
    <x:col min="6" max="6" width="14.109999656677246" hidden="0" customWidth="1"/>
    <x:col min="7" max="7" width="14.109999656677246" hidden="0" customWidth="1"/>
    <x:col min="8" max="8" width="31.290000915527344" hidden="0" customWidth="1"/>
  </x:cols>
  <x:sheetData>
    <x:row r="1" ht="31.5" customHeight="1">
      <x:c r="A1" s="8" t="str">
        <x:v>Brand Safety and Platform Risk Checklist</x:v>
      </x:c>
      <x:c r="B1" s="9" t="str"/>
      <x:c r="C1" s="9" t="str"/>
      <x:c r="D1" s="9" t="str"/>
      <x:c r="E1" s="9" t="str"/>
      <x:c r="F1" s="9" t="str"/>
      <x:c r="G1" s="9" t="str"/>
      <x:c r="H1" s="10" t="str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 ht="22.5" customHeight="1">
      <x:c r="A3" s="25" t="str">
        <x:v>Risk Area</x:v>
      </x:c>
      <x:c r="B3" s="26" t="str">
        <x:v>Rule</x:v>
      </x:c>
      <x:c r="C3" s="26" t="str">
        <x:v>Check Question</x:v>
      </x:c>
      <x:c r="D3" s="26" t="str">
        <x:v>Applies To</x:v>
      </x:c>
      <x:c r="E3" s="26" t="str">
        <x:v>Severity</x:v>
      </x:c>
      <x:c r="F3" s="26" t="str">
        <x:v>Owner</x:v>
      </x:c>
      <x:c r="G3" s="26" t="str">
        <x:v>Status</x:v>
      </x:c>
      <x:c r="H3" s="27" t="str">
        <x:v>Notes</x:v>
      </x:c>
    </x:row>
    <x:row r="4">
      <x:c r="A4" s="62" t="str">
        <x:v>Body shaming</x:v>
      </x:c>
      <x:c r="B4" s="73" t="str">
        <x:v>Never shame bodies, weight, appearance, or fitness level.</x:v>
      </x:c>
      <x:c r="C4" s="73" t="str">
        <x:v>Would this make a beginner feel attacked rather than challenged?</x:v>
      </x:c>
      <x:c r="D4" s="73" t="str">
        <x:v>All content</x:v>
      </x:c>
      <x:c r="E4" s="73" t="str">
        <x:v>High</x:v>
      </x:c>
      <x:c r="F4" s="73" t="str">
        <x:v>Founder</x:v>
      </x:c>
      <x:c r="G4" s="73" t="str">
        <x:v>Required</x:v>
      </x:c>
      <x:c r="H4" s="63" t="str">
        <x:v>Menace should target excuses, not people.</x:v>
      </x:c>
    </x:row>
    <x:row r="5">
      <x:c r="A5" s="64" t="str">
        <x:v>Medical claims</x:v>
      </x:c>
      <x:c r="B5" s="74" t="str">
        <x:v>Avoid claims about health outcomes, weight loss, injury prevention, or treatment.</x:v>
      </x:c>
      <x:c r="C5" s="74" t="str">
        <x:v>Does this imply guaranteed health or medical benefits?</x:v>
      </x:c>
      <x:c r="D5" s="74" t="str">
        <x:v>All content</x:v>
      </x:c>
      <x:c r="E5" s="74" t="str">
        <x:v>High</x:v>
      </x:c>
      <x:c r="F5" s="74" t="str">
        <x:v>Founder</x:v>
      </x:c>
      <x:c r="G5" s="74" t="str">
        <x:v>Required</x:v>
      </x:c>
      <x:c r="H5" s="65" t="str">
        <x:v>Use habit/accountability language.</x:v>
      </x:c>
    </x:row>
    <x:row r="6">
      <x:c r="A6" s="64" t="str">
        <x:v>Unsafe stunts</x:v>
      </x:c>
      <x:c r="B6" s="74" t="str">
        <x:v>No risky variations, dangerous speed challenges, or form-breaking dares.</x:v>
      </x:c>
      <x:c r="C6" s="74" t="str">
        <x:v>Could a viewer imitate this unsafely?</x:v>
      </x:c>
      <x:c r="D6" s="74" t="str">
        <x:v>Video + creator briefs</x:v>
      </x:c>
      <x:c r="E6" s="74" t="str">
        <x:v>High</x:v>
      </x:c>
      <x:c r="F6" s="74" t="str">
        <x:v>Founder</x:v>
      </x:c>
      <x:c r="G6" s="74" t="str">
        <x:v>Required</x:v>
      </x:c>
      <x:c r="H6" s="65" t="str">
        <x:v>Keep "beat my time" framed around clean reps.</x:v>
      </x:c>
    </x:row>
    <x:row r="7">
      <x:c r="A7" s="64" t="str">
        <x:v>Fake scarcity / fake users</x:v>
      </x:c>
      <x:c r="B7" s="74" t="str">
        <x:v>Do not invent user counts, rankings, or deadlines.</x:v>
      </x:c>
      <x:c r="C7" s="74" t="str">
        <x:v>Is every number real, local-only, or clearly labeled preview?</x:v>
      </x:c>
      <x:c r="D7" s="74" t="str">
        <x:v>Social proof</x:v>
      </x:c>
      <x:c r="E7" s="74" t="str">
        <x:v>High</x:v>
      </x:c>
      <x:c r="F7" s="74" t="str">
        <x:v>Growth</x:v>
      </x:c>
      <x:c r="G7" s="74" t="str">
        <x:v>Required</x:v>
      </x:c>
      <x:c r="H7" s="65" t="str">
        <x:v>Replace X before posting recaps.</x:v>
      </x:c>
    </x:row>
    <x:row r="8">
      <x:c r="A8" s="64" t="str">
        <x:v>Consent / UGC</x:v>
      </x:c>
      <x:c r="B8" s="74" t="str">
        <x:v>Get permission before reposting user content; separate paid permission from organic.</x:v>
      </x:c>
      <x:c r="C8" s="74" t="str">
        <x:v>Is paid usage approved, not just organic reposting?</x:v>
      </x:c>
      <x:c r="D8" s="74" t="str">
        <x:v>UGC + ads</x:v>
      </x:c>
      <x:c r="E8" s="74" t="str">
        <x:v>High</x:v>
      </x:c>
      <x:c r="F8" s="74" t="str">
        <x:v>Growth</x:v>
      </x:c>
      <x:c r="G8" s="74" t="str">
        <x:v>Required</x:v>
      </x:c>
      <x:c r="H8" s="65" t="str">
        <x:v>Use UGC Pipeline tab.</x:v>
      </x:c>
    </x:row>
    <x:row r="9">
      <x:c r="A9" s="64" t="str">
        <x:v>Minors / schools</x:v>
      </x:c>
      <x:c r="B9" s="74" t="str">
        <x:v>Be extra cautious with minors, schools, and youth teams.</x:v>
      </x:c>
      <x:c r="C9" s="74" t="str">
        <x:v>Do we have appropriate consent and safe framing?</x:v>
      </x:c>
      <x:c r="D9" s="74" t="str">
        <x:v>Campus/school</x:v>
      </x:c>
      <x:c r="E9" s="74" t="str">
        <x:v>High</x:v>
      </x:c>
      <x:c r="F9" s="74" t="str">
        <x:v>Founder</x:v>
      </x:c>
      <x:c r="G9" s="74" t="str">
        <x:v>Required</x:v>
      </x:c>
      <x:c r="H9" s="65" t="str">
        <x:v>Avoid collecting sensitive info.</x:v>
      </x:c>
    </x:row>
    <x:row r="10">
      <x:c r="A10" s="64" t="str">
        <x:v>Platform native fit</x:v>
      </x:c>
      <x:c r="B10" s="74" t="str">
        <x:v>Do not upload obvious ad slop; keep creator-native style.</x:v>
      </x:c>
      <x:c r="C10" s="74" t="str">
        <x:v>Does this feel native to the platform?</x:v>
      </x:c>
      <x:c r="D10" s="74" t="str">
        <x:v>TikTok/Reels/Shorts</x:v>
      </x:c>
      <x:c r="E10" s="74" t="str">
        <x:v>Medium</x:v>
      </x:c>
      <x:c r="F10" s="74" t="str">
        <x:v>Growth</x:v>
      </x:c>
      <x:c r="G10" s="74" t="str">
        <x:v>Required</x:v>
      </x:c>
      <x:c r="H10" s="65" t="str">
        <x:v>Follow platform templates.</x:v>
      </x:c>
    </x:row>
    <x:row r="11">
      <x:c r="A11" s="64" t="str">
        <x:v>Harsh reminder copy</x:v>
      </x:c>
      <x:c r="B11" s="74" t="str">
        <x:v>Keep aggressive copy opt-in and funny, not cruel.</x:v>
      </x:c>
      <x:c r="C11" s="74" t="str">
        <x:v>Would this be okay if screenshotted out of context?</x:v>
      </x:c>
      <x:c r="D11" s="74" t="str">
        <x:v>Notifications + ads</x:v>
      </x:c>
      <x:c r="E11" s="74" t="str">
        <x:v>Medium</x:v>
      </x:c>
      <x:c r="F11" s="74" t="str">
        <x:v>Founder</x:v>
      </x:c>
      <x:c r="G11" s="74" t="str">
        <x:v>Required</x:v>
      </x:c>
      <x:c r="H11" s="65" t="str">
        <x:v>Default to playful accountability.</x:v>
      </x:c>
    </x:row>
    <x:row r="12">
      <x:c r="A12" s="66" t="str">
        <x:v>Competitor comparisons</x:v>
      </x:c>
      <x:c r="B12" s="75" t="str">
        <x:v>Use category contrast, not misleading attacks.</x:v>
      </x:c>
      <x:c r="C12" s="75" t="str">
        <x:v>Is the comparison truthful and fair?</x:v>
      </x:c>
      <x:c r="D12" s="75" t="str">
        <x:v>Week 9 content</x:v>
      </x:c>
      <x:c r="E12" s="75" t="str">
        <x:v>Medium</x:v>
      </x:c>
      <x:c r="F12" s="75" t="str">
        <x:v>Growth</x:v>
      </x:c>
      <x:c r="G12" s="75" t="str">
        <x:v>Required</x:v>
      </x:c>
      <x:c r="H12" s="67" t="str">
        <x:v>No false claims about competitors.</x:v>
      </x:c>
    </x:row>
  </x:sheetData>
  <x:dataValidations count="2">
    <x:dataValidation type="list" allowBlank="0" showDropDown="0" sqref="E4:E12">
      <x:formula1>"High,Medium,Low"</x:formula1>
    </x:dataValidation>
    <x:dataValidation type="list" allowBlank="0" showDropDown="0" sqref="G4:G12">
      <x:formula1>"Required,Checked,Needs Fix,Approved"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01 - Founder proof and beta waitlist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Founder proof and beta waitlist</x:v>
      </x:c>
      <x:c r="C3" s="100" t="str">
        <x:v>Goal</x:v>
      </x:c>
      <x:c r="D3" s="73" t="str">
        <x:v>Make the product instantly legible and recruit the first tester cohort.</x:v>
      </x:c>
      <x:c r="E3" s="100" t="str">
        <x:v>Primary CTA</x:v>
      </x:c>
      <x:c r="F3" s="73" t="str">
        <x:v>Download beta / comment 20 / join Day 1</x:v>
      </x:c>
      <x:c r="G3" s="100" t="str">
        <x:v>Phase</x:v>
      </x:c>
      <x:c r="H3" s="73" t="str">
        <x:v>Foundation</x:v>
      </x:c>
      <x:c r="I3" s="100" t="str">
        <x:v>Pillar Bias</x:v>
      </x:c>
      <x:c r="J3" s="63" t="str">
        <x:v>Product demo 40%, Challenge 30%, Humor 20%, Social proof 10%</x:v>
      </x:c>
    </x:row>
    <x:row r="4">
      <x:c r="A4" s="97" t="str">
        <x:v>Competitor angle</x:v>
      </x:c>
      <x:c r="B4" s="75" t="str">
        <x:v>Borrow Seven-style clarity, but keep Just20 narrower: one action, one receipt.</x:v>
      </x:c>
      <x:c r="C4" s="101" t="str">
        <x:v>Key Experiment</x:v>
      </x:c>
      <x:c r="D4" s="75" t="str">
        <x:v>Founder hook variants: annoying app vs one-set challenge vs camera proof.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18</x:v>
      </x:c>
      <x:c r="C7" s="39" t="n">
        <x:v>75000</x:v>
      </x:c>
      <x:c r="D7" s="39" t="n">
        <x:v>300</x:v>
      </x:c>
      <x:c r="E7" s="39" t="n">
        <x:v>120</x:v>
      </x:c>
      <x:c r="F7" s="39" t="n">
        <x:v>45</x:v>
      </x:c>
      <x:c r="G7" s="39" t="n">
        <x:v>120</x:v>
      </x:c>
      <x:c r="H7" s="102" t="n">
        <x:f>IF(D7=0,"",E7/D7)</x:f>
        <x:v>0.4</x:v>
      </x:c>
      <x:c r="I7" s="102" t="n">
        <x:f>IF(D7=0,"",F7/D7)</x:f>
        <x:v>0.15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120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3</x:v>
      </x:c>
      <x:c r="D14" s="73" t="str">
        <x:v>Founder demo: install, reminder, camera preview, completion card.</x:v>
      </x:c>
      <x:c r="E14" s="73" t="str">
        <x:v>I built an app that annoys me until I do 20 pushups.</x:v>
      </x:c>
      <x:c r="F14" s="73" t="str">
        <x:v>Comment 20 / download beta</x:v>
      </x:c>
      <x:c r="G14" s="73" t="str">
        <x:v>Make the app visible by second 1; no long intro.</x:v>
      </x:c>
      <x:c r="H14" s="73" t="str">
        <x:v>3-sec hold &gt; 70%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3</x:v>
      </x:c>
      <x:c r="D15" s="74" t="str">
        <x:v>Notification escalation skit.</x:v>
      </x:c>
      <x:c r="E15" s="74" t="str">
        <x:v>This app gets more annoying every hour I ignore it.</x:v>
      </x:c>
      <x:c r="F15" s="74" t="str">
        <x:v>Join Day 1</x:v>
      </x:c>
      <x:c r="G15" s="74" t="str">
        <x:v>Film lo-fi, phone-in-hand; keep it native.</x:v>
      </x:c>
      <x:c r="H15" s="74" t="str">
        <x:v>Comments per 1k views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3</x:v>
      </x:c>
      <x:c r="D16" s="74" t="str">
        <x:v>Camera tracking overlay proof.</x:v>
      </x:c>
      <x:c r="E16" s="74" t="str">
        <x:v>It counts reps. It also knows when I cheat.</x:v>
      </x:c>
      <x:c r="F16" s="74" t="str">
        <x:v>Try the rep counter</x:v>
      </x:c>
      <x:c r="G16" s="74" t="str">
        <x:v>Use split screen: body + app overlay.</x:v>
      </x:c>
      <x:c r="H16" s="74" t="str">
        <x:v>Saves + app profile clicks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3</x:v>
      </x:c>
      <x:c r="D17" s="74" t="str">
        <x:v>First completion receipt.</x:v>
      </x:c>
      <x:c r="E17" s="74" t="str">
        <x:v>Twenty pushups later, the app finally shut up.</x:v>
      </x:c>
      <x:c r="F17" s="74" t="str">
        <x:v>Share your receipt</x:v>
      </x:c>
      <x:c r="G17" s="74" t="str">
        <x:v>Turn receipt into Story template.</x:v>
      </x:c>
      <x:c r="H17" s="74" t="str">
        <x:v>Share-card opens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Reddit</x:v>
      </x:c>
      <x:c r="C18" s="80" t="n">
        <x:v>3</x:v>
      </x:c>
      <x:c r="D18" s="74" t="str">
        <x:v>Build-in-public post asking for brutal testers.</x:v>
      </x:c>
      <x:c r="E18" s="74" t="str">
        <x:v>I need 100 people willing to be annoyed daily.</x:v>
      </x:c>
      <x:c r="F18" s="74" t="str">
        <x:v>Ask for testers</x:v>
      </x:c>
      <x:c r="G18" s="74" t="str">
        <x:v>Post non-spam version in indie/productivity communities.</x:v>
      </x:c>
      <x:c r="H18" s="74" t="str">
        <x:v>Beta signups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Spotlight</x:v>
      </x:c>
      <x:c r="C19" s="80" t="n">
        <x:v>2</x:v>
      </x:c>
      <x:c r="D19" s="74" t="str">
        <x:v>Friend tag challenge.</x:v>
      </x:c>
      <x:c r="E19" s="74" t="str">
        <x:v>Tag the friend who says "later" and means never.</x:v>
      </x:c>
      <x:c r="F19" s="74" t="str">
        <x:v>Tag + invite</x:v>
      </x:c>
      <x:c r="G19" s="74" t="str">
        <x:v>Use positive wording for Spotlight.</x:v>
      </x:c>
      <x:c r="H19" s="74" t="str">
        <x:v>Tags / shares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</x:v>
      </x:c>
      <x:c r="C20" s="81" t="n">
        <x:v>1</x:v>
      </x:c>
      <x:c r="D20" s="75" t="str">
        <x:v>Monday challenge trailer.</x:v>
      </x:c>
      <x:c r="E20" s="75" t="str">
        <x:v>Tomorrow: 7 days. 20 pushups. No negotiations.</x:v>
      </x:c>
      <x:c r="F20" s="75" t="str">
        <x:v>Join Monday</x:v>
      </x:c>
      <x:c r="G20" s="75" t="str">
        <x:v>Pin a comment with clear download link.</x:v>
      </x:c>
      <x:c r="H20" s="75" t="str">
        <x:v>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02 - 7-day no-excuses challenge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7-day no-excuses challenge</x:v>
      </x:c>
      <x:c r="C3" s="100" t="str">
        <x:v>Goal</x:v>
      </x:c>
      <x:c r="D3" s="73" t="str">
        <x:v>Turn installs into first workout completions and first friend tags.</x:v>
      </x:c>
      <x:c r="E3" s="100" t="str">
        <x:v>Primary CTA</x:v>
      </x:c>
      <x:c r="F3" s="73" t="str">
        <x:v>Start the 7-day challenge today</x:v>
      </x:c>
      <x:c r="G3" s="100" t="str">
        <x:v>Phase</x:v>
      </x:c>
      <x:c r="H3" s="73" t="str">
        <x:v>Activation</x:v>
      </x:c>
      <x:c r="I3" s="100" t="str">
        <x:v>Pillar Bias</x:v>
      </x:c>
      <x:c r="J3" s="63" t="str">
        <x:v>Challenge 45%, Product demo 25%, Social proof 20%, Humor 10%</x:v>
      </x:c>
    </x:row>
    <x:row r="4">
      <x:c r="A4" s="97" t="str">
        <x:v>Competitor angle</x:v>
      </x:c>
      <x:c r="B4" s="75" t="str">
        <x:v>Counter generic home-workout apps with zero-choice simplicity.</x:v>
      </x:c>
      <x:c r="C4" s="101" t="str">
        <x:v>Key Experiment</x:v>
      </x:c>
      <x:c r="D4" s="75" t="str">
        <x:v>Challenge headline test: no excuses vs app will annoy you vs prove it.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21</x:v>
      </x:c>
      <x:c r="C7" s="39" t="n">
        <x:v>125000</x:v>
      </x:c>
      <x:c r="D7" s="39" t="n">
        <x:v>650</x:v>
      </x:c>
      <x:c r="E7" s="39" t="n">
        <x:v>300</x:v>
      </x:c>
      <x:c r="F7" s="39" t="n">
        <x:v>90</x:v>
      </x:c>
      <x:c r="G7" s="39" t="n">
        <x:v>150</x:v>
      </x:c>
      <x:c r="H7" s="102" t="n">
        <x:f>IF(D7=0,"",E7/D7)</x:f>
        <x:v>0.46153846153846156</x:v>
      </x:c>
      <x:c r="I7" s="102" t="n">
        <x:f>IF(D7=0,"",F7/D7)</x:f>
        <x:v>0.13846153846153847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150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All short-form</x:v>
      </x:c>
      <x:c r="C14" s="79" t="n">
        <x:v>4</x:v>
      </x:c>
      <x:c r="D14" s="73" t="str">
        <x:v>7-day challenge kickoff.</x:v>
      </x:c>
      <x:c r="E14" s="73" t="str">
        <x:v>Day 1 is easy. Day 4 is where excuses get loud.</x:v>
      </x:c>
      <x:c r="F14" s="73" t="str">
        <x:v>Start now</x:v>
      </x:c>
      <x:c r="G14" s="73" t="str">
        <x:v>Use countdown sticker on IG Stories.</x:v>
      </x:c>
      <x:c r="H14" s="73" t="str">
        <x:v>Installs + first workouts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3</x:v>
      </x:c>
      <x:c r="D15" s="74" t="str">
        <x:v>Day 2 social pressure.</x:v>
      </x:c>
      <x:c r="E15" s="74" t="str">
        <x:v>Your friend did their 20. Your move.</x:v>
      </x:c>
      <x:c r="F15" s="74" t="str">
        <x:v>Challenge a friend</x:v>
      </x:c>
      <x:c r="G15" s="74" t="str">
        <x:v>Show buddy/challenge flow.</x:v>
      </x:c>
      <x:c r="H15" s="74" t="str">
        <x:v>Friend invites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3</x:v>
      </x:c>
      <x:c r="D16" s="74" t="str">
        <x:v>Midweek accountability check.</x:v>
      </x:c>
      <x:c r="E16" s="74" t="str">
        <x:v>If you skipped yesterday, this is your villain origin story.</x:v>
      </x:c>
      <x:c r="F16" s="74" t="str">
        <x:v>Recover today</x:v>
      </x:c>
      <x:c r="G16" s="74" t="str">
        <x:v>Tie to streak patch lightly if live.</x:v>
      </x:c>
      <x:c r="H16" s="74" t="str">
        <x:v>Reactivation clicks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+ Stories</x:v>
      </x:c>
      <x:c r="C17" s="80" t="n">
        <x:v>3</x:v>
      </x:c>
      <x:c r="D17" s="74" t="str">
        <x:v>User receipt reposts.</x:v>
      </x:c>
      <x:c r="E17" s="74" t="str">
        <x:v>People are actually posting pushup receipts now.</x:v>
      </x:c>
      <x:c r="F17" s="74" t="str">
        <x:v>Post yours</x:v>
      </x:c>
      <x:c r="G17" s="74" t="str">
        <x:v>Make collage but keep privacy safe.</x:v>
      </x:c>
      <x:c r="H17" s="74" t="str">
        <x:v>Story mentions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</x:v>
      </x:c>
      <x:c r="C18" s="80" t="n">
        <x:v>3</x:v>
      </x:c>
      <x:c r="D18" s="74" t="str">
        <x:v>Strict-window hook.</x:v>
      </x:c>
      <x:c r="E18" s="74" t="str">
        <x:v>The 10-minute window makes this weirdly addictive.</x:v>
      </x:c>
      <x:c r="F18" s="74" t="str">
        <x:v>Set a time</x:v>
      </x:c>
      <x:c r="G18" s="74" t="str">
        <x:v>Demo default reminder mode.</x:v>
      </x:c>
      <x:c r="H18" s="74" t="str">
        <x:v>Notification opt-ins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TikTok + Reels</x:v>
      </x:c>
      <x:c r="C19" s="80" t="n">
        <x:v>3</x:v>
      </x:c>
      <x:c r="D19" s="74" t="str">
        <x:v>Friend fail/friend win comedy.</x:v>
      </x:c>
      <x:c r="E19" s="74" t="str">
        <x:v>One friend made it. One friend folded.</x:v>
      </x:c>
      <x:c r="F19" s="74" t="str">
        <x:v>Tag the folder</x:v>
      </x:c>
      <x:c r="G19" s="74" t="str">
        <x:v>Use creator duet/stitch prompts.</x:v>
      </x:c>
      <x:c r="H19" s="74" t="str">
        <x:v>Duets/stitches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+ Community</x:v>
      </x:c>
      <x:c r="C20" s="81" t="n">
        <x:v>2</x:v>
      </x:c>
      <x:c r="D20" s="75" t="str">
        <x:v>Week 1 results recap.</x:v>
      </x:c>
      <x:c r="E20" s="75" t="str">
        <x:v>X people started. The floor remains undefeated.</x:v>
      </x:c>
      <x:c r="F20" s="75" t="str">
        <x:v>Join next week</x:v>
      </x:c>
      <x:c r="G20" s="75" t="str">
        <x:v>Replace X with actual number before posting.</x:v>
      </x:c>
      <x:c r="H20" s="75" t="str">
        <x:v>Week 3 waitlist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03 - Completion cards and public receipts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Completion cards and public receipts</x:v>
      </x:c>
      <x:c r="C3" s="100" t="str">
        <x:v>Goal</x:v>
      </x:c>
      <x:c r="D3" s="73" t="str">
        <x:v>Make every workout completion feel like a shareable receipt.</x:v>
      </x:c>
      <x:c r="E3" s="100" t="str">
        <x:v>Primary CTA</x:v>
      </x:c>
      <x:c r="F3" s="73" t="str">
        <x:v>Post your Day card and tag Just20</x:v>
      </x:c>
      <x:c r="G3" s="100" t="str">
        <x:v>Phase</x:v>
      </x:c>
      <x:c r="H3" s="73" t="str">
        <x:v>Proof Loop</x:v>
      </x:c>
      <x:c r="I3" s="100" t="str">
        <x:v>Pillar Bias</x:v>
      </x:c>
      <x:c r="J3" s="63" t="str">
        <x:v>Social proof 40%, Challenge 25%, Product demo 20%, Humor 15%</x:v>
      </x:c>
    </x:row>
    <x:row r="4">
      <x:c r="A4" s="97" t="str">
        <x:v>Competitor angle</x:v>
      </x:c>
      <x:c r="B4" s="75" t="str">
        <x:v>Out-share Nike/Freeletics by making proof the product, not a side feature.</x:v>
      </x:c>
      <x:c r="C4" s="101" t="str">
        <x:v>Key Experiment</x:v>
      </x:c>
      <x:c r="D4" s="75" t="str">
        <x:v>Receipt formats: day number, speed, badge unlock, friend challenge.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24</x:v>
      </x:c>
      <x:c r="C7" s="39" t="n">
        <x:v>200000</x:v>
      </x:c>
      <x:c r="D7" s="39" t="n">
        <x:v>1100</x:v>
      </x:c>
      <x:c r="E7" s="39" t="n">
        <x:v>550</x:v>
      </x:c>
      <x:c r="F7" s="39" t="n">
        <x:v>180</x:v>
      </x:c>
      <x:c r="G7" s="39" t="n">
        <x:v>200</x:v>
      </x:c>
      <x:c r="H7" s="102" t="n">
        <x:f>IF(D7=0,"",E7/D7)</x:f>
        <x:v>0.5</x:v>
      </x:c>
      <x:c r="I7" s="102" t="n">
        <x:f>IF(D7=0,"",F7/D7)</x:f>
        <x:v>0.16363636363636364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200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</x:v>
      </x:c>
      <x:c r="C14" s="79" t="n">
        <x:v>4</x:v>
      </x:c>
      <x:c r="D14" s="73" t="str">
        <x:v>Receipt design reveal.</x:v>
      </x:c>
      <x:c r="E14" s="73" t="str">
        <x:v>This is what your daily proof looks like.</x:v>
      </x:c>
      <x:c r="F14" s="73" t="str">
        <x:v>Post your proof</x:v>
      </x:c>
      <x:c r="G14" s="73" t="str">
        <x:v>Show Day, time, XP, invite code.</x:v>
      </x:c>
      <x:c r="H14" s="73" t="str">
        <x:v>Completion card shares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Shorts + TikTok</x:v>
      </x:c>
      <x:c r="C15" s="80" t="n">
        <x:v>3</x:v>
      </x:c>
      <x:c r="D15" s="74" t="str">
        <x:v>Personal best receipt.</x:v>
      </x:c>
      <x:c r="E15" s="74" t="str">
        <x:v>I got faster at pushups because an app bullied me.</x:v>
      </x:c>
      <x:c r="F15" s="74" t="str">
        <x:v>Beat your time</x:v>
      </x:c>
      <x:c r="G15" s="74" t="str">
        <x:v>Show timer trend.</x:v>
      </x:c>
      <x:c r="H15" s="74" t="str">
        <x:v>Saves + repeats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Reels Stories</x:v>
      </x:c>
      <x:c r="C16" s="80" t="n">
        <x:v>3</x:v>
      </x:c>
      <x:c r="D16" s="74" t="str">
        <x:v>UGC repost train.</x:v>
      </x:c>
      <x:c r="E16" s="74" t="str">
        <x:v>I will repost every Day 3 receipt today.</x:v>
      </x:c>
      <x:c r="F16" s="74" t="str">
        <x:v>Tag Just20</x:v>
      </x:c>
      <x:c r="G16" s="74" t="str">
        <x:v>Use Stories heavily.</x:v>
      </x:c>
      <x:c r="H16" s="74" t="str">
        <x:v>Mentions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TikTok</x:v>
      </x:c>
      <x:c r="C17" s="80" t="n">
        <x:v>3</x:v>
      </x:c>
      <x:c r="D17" s="74" t="str">
        <x:v>Comment reply videos.</x:v>
      </x:c>
      <x:c r="E17" s="74" t="str">
        <x:v>You said 20 pushups is easy. Prove it.</x:v>
      </x:c>
      <x:c r="F17" s="74" t="str">
        <x:v>Reply with receipt</x:v>
      </x:c>
      <x:c r="G17" s="74" t="str">
        <x:v>Turn spicy comments into videos.</x:v>
      </x:c>
      <x:c r="H17" s="74" t="str">
        <x:v>Comment-to-video views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Shorts + Reels</x:v>
      </x:c>
      <x:c r="C18" s="80" t="n">
        <x:v>3</x:v>
      </x:c>
      <x:c r="D18" s="74" t="str">
        <x:v>Friend challenge receipt.</x:v>
      </x:c>
      <x:c r="E18" s="74" t="str">
        <x:v>Beat my 20 in 43 seconds.</x:v>
      </x:c>
      <x:c r="F18" s="74" t="str">
        <x:v>Challenge one friend</x:v>
      </x:c>
      <x:c r="G18" s="74" t="str">
        <x:v>Use duel framing if available.</x:v>
      </x:c>
      <x:c r="H18" s="74" t="str">
        <x:v>Challenge starts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TikTok + Spotlight</x:v>
      </x:c>
      <x:c r="C19" s="80" t="n">
        <x:v>2</x:v>
      </x:c>
      <x:c r="D19" s="74" t="str">
        <x:v>Receipt montage.</x:v>
      </x:c>
      <x:c r="E19" s="74" t="str">
        <x:v>A weird amount of people did pushups this week.</x:v>
      </x:c>
      <x:c r="F19" s="74" t="str">
        <x:v>Join the weird club</x:v>
      </x:c>
      <x:c r="G19" s="74" t="str">
        <x:v>Keep cuts fast, 0.5-1.0s per card.</x:v>
      </x:c>
      <x:c r="H19" s="74" t="str">
        <x:v>Watch completion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</x:v>
      </x:c>
      <x:c r="C20" s="81" t="n">
        <x:v>2</x:v>
      </x:c>
      <x:c r="D20" s="75" t="str">
        <x:v>Sunday leaderboard/local proof.</x:v>
      </x:c>
      <x:c r="E20" s="75" t="str">
        <x:v>Most common excuse this week: later.</x:v>
      </x:c>
      <x:c r="F20" s="75" t="str">
        <x:v>Start Monday</x:v>
      </x:c>
      <x:c r="G20" s="75" t="str">
        <x:v>Use honest local-only wording.</x:v>
      </x:c>
      <x:c r="H20" s="75" t="str">
        <x:v>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04 - Micro-creator challenge codes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Micro-creator challenge codes</x:v>
      </x:c>
      <x:c r="C3" s="100" t="str">
        <x:v>Goal</x:v>
      </x:c>
      <x:c r="D3" s="73" t="str">
        <x:v>Seed creators and convert comment demand into invite-code installs.</x:v>
      </x:c>
      <x:c r="E3" s="100" t="str">
        <x:v>Primary CTA</x:v>
      </x:c>
      <x:c r="F3" s="73" t="str">
        <x:v>Use creator code and beat their day streak</x:v>
      </x:c>
      <x:c r="G3" s="100" t="str">
        <x:v>Phase</x:v>
      </x:c>
      <x:c r="H3" s="73" t="str">
        <x:v>Creator Seeding</x:v>
      </x:c>
      <x:c r="I3" s="100" t="str">
        <x:v>Pillar Bias</x:v>
      </x:c>
      <x:c r="J3" s="63" t="str">
        <x:v>Creator challenge 40%, Social proof 25%, Product demo 20%, Humor 15%</x:v>
      </x:c>
    </x:row>
    <x:row r="4">
      <x:c r="A4" s="97" t="str">
        <x:v>Competitor angle</x:v>
      </x:c>
      <x:c r="B4" s="75" t="str">
        <x:v>Borrow BetterMe challenge packaging without bloated onboarding.</x:v>
      </x:c>
      <x:c r="C4" s="101" t="str">
        <x:v>Key Experiment</x:v>
      </x:c>
      <x:c r="D4" s="75" t="str">
        <x:v>Creator vertical test: fitness, college, comedy, productivity.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28</x:v>
      </x:c>
      <x:c r="C7" s="39" t="n">
        <x:v>300000</x:v>
      </x:c>
      <x:c r="D7" s="39" t="n">
        <x:v>1800</x:v>
      </x:c>
      <x:c r="E7" s="39" t="n">
        <x:v>900</x:v>
      </x:c>
      <x:c r="F7" s="39" t="n">
        <x:v>300</x:v>
      </x:c>
      <x:c r="G7" s="39" t="n">
        <x:v>250</x:v>
      </x:c>
      <x:c r="H7" s="102" t="n">
        <x:f>IF(D7=0,"",E7/D7)</x:f>
        <x:v>0.5</x:v>
      </x:c>
      <x:c r="I7" s="102" t="n">
        <x:f>IF(D7=0,"",F7/D7)</x:f>
        <x:v>0.16666666666666666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250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Micro-creator challenge codes: Founder face-cam plus app screen recording.</x:v>
      </x:c>
      <x:c r="E14" s="73" t="str">
        <x:v>Micro-creator challenge codes. I built an app that makes excuses expensive.</x:v>
      </x:c>
      <x:c r="F14" s="73" t="str">
        <x:v>Use creator code and beat their day streak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Micro-creator challenge codes: Pushup challenge prompt with friend tag.</x:v>
      </x:c>
      <x:c r="E15" s="74" t="str">
        <x:v>Micro-creator challenge codes. Tag the friend who will quit before day 3.</x:v>
      </x:c>
      <x:c r="F15" s="74" t="str">
        <x:v>Use creator code and beat their day streak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Micro-creator challenge codes: Proof-card receipt demo.</x:v>
      </x:c>
      <x:c r="E16" s="74" t="str">
        <x:v>Micro-creator challenge codes. The app only shuts up when the 20 are done.</x:v>
      </x:c>
      <x:c r="F16" s="74" t="str">
        <x:v>Use creator code and beat their day streak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Micro-creator challenge codes: Notification/mascot humor skit.</x:v>
      </x:c>
      <x:c r="E17" s="74" t="str">
        <x:v>Micro-creator challenge codes. POV: Just20 at 9pm.</x:v>
      </x:c>
      <x:c r="F17" s="74" t="str">
        <x:v>Use creator code and beat their day streak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Micro-creator challenge codes: Build-in-public result recap.</x:v>
      </x:c>
      <x:c r="E18" s="74" t="str">
        <x:v>Micro-creator challenge codes. I made strangers do pushups for a week.</x:v>
      </x:c>
      <x:c r="F18" s="74" t="str">
        <x:v>Use creator code and beat their day streak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Micro-creator challenge codes: UGC montage / friend duel.</x:v>
      </x:c>
      <x:c r="E19" s="74" t="str">
        <x:v>Micro-creator challenge codes. Who owes you 20 today?</x:v>
      </x:c>
      <x:c r="F19" s="74" t="str">
        <x:v>Use creator code and beat their day streak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Micro-creator challenge codes: Weekly challenge announcement.</x:v>
      </x:c>
      <x:c r="E20" s="75" t="str">
        <x:v>Micro-creator challenge codes. Tomorrow starts the no-excuses week.</x:v>
      </x:c>
      <x:c r="F20" s="75" t="str">
        <x:v>Use creator code and beat their day streak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05 - Camera proof and clean rep counter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Camera proof and clean rep counter</x:v>
      </x:c>
      <x:c r="C3" s="100" t="str">
        <x:v>Goal</x:v>
      </x:c>
      <x:c r="D3" s="73" t="str">
        <x:v>Prove the body-tracking wedge and make camera tracking feel trustworthy.</x:v>
      </x:c>
      <x:c r="E3" s="100" t="str">
        <x:v>Primary CTA</x:v>
      </x:c>
      <x:c r="F3" s="73" t="str">
        <x:v>Try the clean-rep counter</x:v>
      </x:c>
      <x:c r="G3" s="100" t="str">
        <x:v>Phase</x:v>
      </x:c>
      <x:c r="H3" s="73" t="str">
        <x:v>Trust</x:v>
      </x:c>
      <x:c r="I3" s="100" t="str">
        <x:v>Pillar Bias</x:v>
      </x:c>
      <x:c r="J3" s="63" t="str">
        <x:v>Product demo 45%, Trust 25%, Challenge 20%, Humor 10%</x:v>
      </x:c>
    </x:row>
    <x:row r="4">
      <x:c r="A4" s="97" t="str">
        <x:v>Competitor angle</x:v>
      </x:c>
      <x:c r="B4" s="75" t="str">
        <x:v>Use Zing-style AI/camera premium cues, but keep the promise tiny and believable.</x:v>
      </x:c>
      <x:c r="C4" s="101" t="str">
        <x:v>Key Experiment</x:v>
      </x:c>
      <x:c r="D4" s="75" t="str">
        <x:v>Camera overlay demos vs fail/recover calibration demos.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28</x:v>
      </x:c>
      <x:c r="C7" s="39" t="n">
        <x:v>425000</x:v>
      </x:c>
      <x:c r="D7" s="39" t="n">
        <x:v>2600</x:v>
      </x:c>
      <x:c r="E7" s="39" t="n">
        <x:v>1300</x:v>
      </x:c>
      <x:c r="F7" s="39" t="n">
        <x:v>430</x:v>
      </x:c>
      <x:c r="G7" s="39" t="n">
        <x:v>300</x:v>
      </x:c>
      <x:c r="H7" s="102" t="n">
        <x:f>IF(D7=0,"",E7/D7)</x:f>
        <x:v>0.5</x:v>
      </x:c>
      <x:c r="I7" s="102" t="n">
        <x:f>IF(D7=0,"",F7/D7)</x:f>
        <x:v>0.16538461538461538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300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Camera proof and clean rep counter: Founder face-cam plus app screen recording.</x:v>
      </x:c>
      <x:c r="E14" s="73" t="str">
        <x:v>Camera proof and clean rep counter. I built an app that makes excuses expensive.</x:v>
      </x:c>
      <x:c r="F14" s="73" t="str">
        <x:v>Try the clean-rep counter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Camera proof and clean rep counter: Pushup challenge prompt with friend tag.</x:v>
      </x:c>
      <x:c r="E15" s="74" t="str">
        <x:v>Camera proof and clean rep counter. Tag the friend who will quit before day 3.</x:v>
      </x:c>
      <x:c r="F15" s="74" t="str">
        <x:v>Try the clean-rep counter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Camera proof and clean rep counter: Proof-card receipt demo.</x:v>
      </x:c>
      <x:c r="E16" s="74" t="str">
        <x:v>Camera proof and clean rep counter. The app only shuts up when the 20 are done.</x:v>
      </x:c>
      <x:c r="F16" s="74" t="str">
        <x:v>Try the clean-rep counter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Camera proof and clean rep counter: Notification/mascot humor skit.</x:v>
      </x:c>
      <x:c r="E17" s="74" t="str">
        <x:v>Camera proof and clean rep counter. POV: Just20 at 9pm.</x:v>
      </x:c>
      <x:c r="F17" s="74" t="str">
        <x:v>Try the clean-rep counter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Camera proof and clean rep counter: Build-in-public result recap.</x:v>
      </x:c>
      <x:c r="E18" s="74" t="str">
        <x:v>Camera proof and clean rep counter. I made strangers do pushups for a week.</x:v>
      </x:c>
      <x:c r="F18" s="74" t="str">
        <x:v>Try the clean-rep counter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Camera proof and clean rep counter: UGC montage / friend duel.</x:v>
      </x:c>
      <x:c r="E19" s="74" t="str">
        <x:v>Camera proof and clean rep counter. Who owes you 20 today?</x:v>
      </x:c>
      <x:c r="F19" s="74" t="str">
        <x:v>Try the clean-rep counter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Camera proof and clean rep counter: Weekly challenge announcement.</x:v>
      </x:c>
      <x:c r="E20" s="75" t="str">
        <x:v>Camera proof and clean rep counter. Tomorrow starts the no-excuses week.</x:v>
      </x:c>
      <x:c r="F20" s="75" t="str">
        <x:v>Try the clean-rep counter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06 - Streak milestones and badge reveals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Streak milestones and badge reveals</x:v>
      </x:c>
      <x:c r="C3" s="100" t="str">
        <x:v>Goal</x:v>
      </x:c>
      <x:c r="D3" s="73" t="str">
        <x:v>Make Day 3, Day 7, Day 14 and badge unlocks feel worth showing off.</x:v>
      </x:c>
      <x:c r="E3" s="100" t="str">
        <x:v>Primary CTA</x:v>
      </x:c>
      <x:c r="F3" s="73" t="str">
        <x:v>Get to Day 7 and unlock the receipt</x:v>
      </x:c>
      <x:c r="G3" s="100" t="str">
        <x:v>Phase</x:v>
      </x:c>
      <x:c r="H3" s="73" t="str">
        <x:v>Retention</x:v>
      </x:c>
      <x:c r="I3" s="100" t="str">
        <x:v>Pillar Bias</x:v>
      </x:c>
      <x:c r="J3" s="63" t="str">
        <x:v>Streak identity 40%, Social proof 30%, Challenge 20%, Humor 10%</x:v>
      </x:c>
    </x:row>
    <x:row r="4">
      <x:c r="A4" s="97" t="str">
        <x:v>Competitor angle</x:v>
      </x:c>
      <x:c r="B4" s="75" t="str">
        <x:v>Borrow Duolingo-style streak identity without making the app feel childish.</x:v>
      </x:c>
      <x:c r="C4" s="101" t="str">
        <x:v>Key Experiment</x:v>
      </x:c>
      <x:c r="D4" s="75" t="str">
        <x:v>Badge reveal afterglow vs streak loss avoidance vs friend streak.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30</x:v>
      </x:c>
      <x:c r="C7" s="39" t="n">
        <x:v>600000</x:v>
      </x:c>
      <x:c r="D7" s="39" t="n">
        <x:v>4000</x:v>
      </x:c>
      <x:c r="E7" s="39" t="n">
        <x:v>2100</x:v>
      </x:c>
      <x:c r="F7" s="39" t="n">
        <x:v>700</x:v>
      </x:c>
      <x:c r="G7" s="39" t="n">
        <x:v>350</x:v>
      </x:c>
      <x:c r="H7" s="102" t="n">
        <x:f>IF(D7=0,"",E7/D7)</x:f>
        <x:v>0.525</x:v>
      </x:c>
      <x:c r="I7" s="102" t="n">
        <x:f>IF(D7=0,"",F7/D7)</x:f>
        <x:v>0.175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350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Streak milestones and badge reveals: Founder face-cam plus app screen recording.</x:v>
      </x:c>
      <x:c r="E14" s="73" t="str">
        <x:v>Streak milestones and badge reveals. I built an app that makes excuses expensive.</x:v>
      </x:c>
      <x:c r="F14" s="73" t="str">
        <x:v>Get to Day 7 and unlock the receipt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Streak milestones and badge reveals: Pushup challenge prompt with friend tag.</x:v>
      </x:c>
      <x:c r="E15" s="74" t="str">
        <x:v>Streak milestones and badge reveals. Tag the friend who will quit before day 3.</x:v>
      </x:c>
      <x:c r="F15" s="74" t="str">
        <x:v>Get to Day 7 and unlock the receipt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Streak milestones and badge reveals: Proof-card receipt demo.</x:v>
      </x:c>
      <x:c r="E16" s="74" t="str">
        <x:v>Streak milestones and badge reveals. The app only shuts up when the 20 are done.</x:v>
      </x:c>
      <x:c r="F16" s="74" t="str">
        <x:v>Get to Day 7 and unlock the receipt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Streak milestones and badge reveals: Notification/mascot humor skit.</x:v>
      </x:c>
      <x:c r="E17" s="74" t="str">
        <x:v>Streak milestones and badge reveals. POV: Just20 at 9pm.</x:v>
      </x:c>
      <x:c r="F17" s="74" t="str">
        <x:v>Get to Day 7 and unlock the receipt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Streak milestones and badge reveals: Build-in-public result recap.</x:v>
      </x:c>
      <x:c r="E18" s="74" t="str">
        <x:v>Streak milestones and badge reveals. I made strangers do pushups for a week.</x:v>
      </x:c>
      <x:c r="F18" s="74" t="str">
        <x:v>Get to Day 7 and unlock the receipt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Streak milestones and badge reveals: UGC montage / friend duel.</x:v>
      </x:c>
      <x:c r="E19" s="74" t="str">
        <x:v>Streak milestones and badge reveals. Who owes you 20 today?</x:v>
      </x:c>
      <x:c r="F19" s="74" t="str">
        <x:v>Get to Day 7 and unlock the receipt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Streak milestones and badge reveals: Weekly challenge announcement.</x:v>
      </x:c>
      <x:c r="E20" s="75" t="str">
        <x:v>Streak milestones and badge reveals. Tomorrow starts the no-excuses week.</x:v>
      </x:c>
      <x:c r="F20" s="75" t="str">
        <x:v>Get to Day 7 and unlock the receipt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07 - XP, coins, shop and weekly chest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XP, coins, shop and weekly chest</x:v>
      </x:c>
      <x:c r="C3" s="100" t="str">
        <x:v>Goal</x:v>
      </x:c>
      <x:c r="D3" s="73" t="str">
        <x:v>Explain why users earn XP/coins and make repeat usage feel collectible.</x:v>
      </x:c>
      <x:c r="E3" s="100" t="str">
        <x:v>Primary CTA</x:v>
      </x:c>
      <x:c r="F3" s="73" t="str">
        <x:v>Earn coins by doing today, not by buying XP</x:v>
      </x:c>
      <x:c r="G3" s="100" t="str">
        <x:v>Phase</x:v>
      </x:c>
      <x:c r="H3" s="73" t="str">
        <x:v>Economy</x:v>
      </x:c>
      <x:c r="I3" s="100" t="str">
        <x:v>Pillar Bias</x:v>
      </x:c>
      <x:c r="J3" s="63" t="str">
        <x:v>Rewards 35%, Product demo 25%, Social proof 25%, Humor 15%</x:v>
      </x:c>
    </x:row>
    <x:row r="4">
      <x:c r="A4" s="97" t="str">
        <x:v>Competitor angle</x:v>
      </x:c>
      <x:c r="B4" s="75" t="str">
        <x:v>Borrow Zwift/Duolingo reward loops while keeping XP earned-only.</x:v>
      </x:c>
      <x:c r="C4" s="101" t="str">
        <x:v>Key Experiment</x:v>
      </x:c>
      <x:c r="D4" s="75" t="str">
        <x:v>Coin shop reveals, chest openings, freeze refill drama.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30</x:v>
      </x:c>
      <x:c r="C7" s="39" t="n">
        <x:v>750000</x:v>
      </x:c>
      <x:c r="D7" s="39" t="n">
        <x:v>5500</x:v>
      </x:c>
      <x:c r="E7" s="39" t="n">
        <x:v>3000</x:v>
      </x:c>
      <x:c r="F7" s="39" t="n">
        <x:v>900</x:v>
      </x:c>
      <x:c r="G7" s="39" t="n">
        <x:v>350</x:v>
      </x:c>
      <x:c r="H7" s="102" t="n">
        <x:f>IF(D7=0,"",E7/D7)</x:f>
        <x:v>0.5454545454545454</x:v>
      </x:c>
      <x:c r="I7" s="102" t="n">
        <x:f>IF(D7=0,"",F7/D7)</x:f>
        <x:v>0.16363636363636364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350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4</x:v>
      </x:c>
      <x:c r="D14" s="73" t="str">
        <x:v>XP, coins, shop and weekly chest: Founder face-cam plus app screen recording.</x:v>
      </x:c>
      <x:c r="E14" s="73" t="str">
        <x:v>XP, coins, shop and weekly chest. I built an app that makes excuses expensive.</x:v>
      </x:c>
      <x:c r="F14" s="73" t="str">
        <x:v>Earn coins by doing today, not by buying XP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4</x:v>
      </x:c>
      <x:c r="D15" s="74" t="str">
        <x:v>XP, coins, shop and weekly chest: Pushup challenge prompt with friend tag.</x:v>
      </x:c>
      <x:c r="E15" s="74" t="str">
        <x:v>XP, coins, shop and weekly chest. Tag the friend who will quit before day 3.</x:v>
      </x:c>
      <x:c r="F15" s="74" t="str">
        <x:v>Earn coins by doing today, not by buying XP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4</x:v>
      </x:c>
      <x:c r="D16" s="74" t="str">
        <x:v>XP, coins, shop and weekly chest: Proof-card receipt demo.</x:v>
      </x:c>
      <x:c r="E16" s="74" t="str">
        <x:v>XP, coins, shop and weekly chest. The app only shuts up when the 20 are done.</x:v>
      </x:c>
      <x:c r="F16" s="74" t="str">
        <x:v>Earn coins by doing today, not by buying XP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4</x:v>
      </x:c>
      <x:c r="D17" s="74" t="str">
        <x:v>XP, coins, shop and weekly chest: Notification/mascot humor skit.</x:v>
      </x:c>
      <x:c r="E17" s="74" t="str">
        <x:v>XP, coins, shop and weekly chest. POV: Just20 at 9pm.</x:v>
      </x:c>
      <x:c r="F17" s="74" t="str">
        <x:v>Earn coins by doing today, not by buying XP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4</x:v>
      </x:c>
      <x:c r="D18" s="74" t="str">
        <x:v>XP, coins, shop and weekly chest: Build-in-public result recap.</x:v>
      </x:c>
      <x:c r="E18" s="74" t="str">
        <x:v>XP, coins, shop and weekly chest. I made strangers do pushups for a week.</x:v>
      </x:c>
      <x:c r="F18" s="74" t="str">
        <x:v>Earn coins by doing today, not by buying XP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4</x:v>
      </x:c>
      <x:c r="D19" s="74" t="str">
        <x:v>XP, coins, shop and weekly chest: UGC montage / friend duel.</x:v>
      </x:c>
      <x:c r="E19" s="74" t="str">
        <x:v>XP, coins, shop and weekly chest. Who owes you 20 today?</x:v>
      </x:c>
      <x:c r="F19" s="74" t="str">
        <x:v>Earn coins by doing today, not by buying XP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4</x:v>
      </x:c>
      <x:c r="D20" s="75" t="str">
        <x:v>XP, coins, shop and weekly chest: Weekly challenge announcement.</x:v>
      </x:c>
      <x:c r="E20" s="75" t="str">
        <x:v>XP, coins, shop and weekly chest. Tomorrow starts the no-excuses week.</x:v>
      </x:c>
      <x:c r="F20" s="75" t="str">
        <x:v>Earn coins by doing today, not by buying XP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08 - Squads, offices, classes and teams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Squads, offices, classes and teams</x:v>
      </x:c>
      <x:c r="C3" s="100" t="str">
        <x:v>Goal</x:v>
      </x:c>
      <x:c r="D3" s="73" t="str">
        <x:v>Shift from solo challenge to friend-group ritual.</x:v>
      </x:c>
      <x:c r="E3" s="100" t="str">
        <x:v>Primary CTA</x:v>
      </x:c>
      <x:c r="F3" s="73" t="str">
        <x:v>Start a squad and make one friend accountable</x:v>
      </x:c>
      <x:c r="G3" s="100" t="str">
        <x:v>Phase</x:v>
      </x:c>
      <x:c r="H3" s="73" t="str">
        <x:v>Groups</x:v>
      </x:c>
      <x:c r="I3" s="100" t="str">
        <x:v>Pillar Bias</x:v>
      </x:c>
      <x:c r="J3" s="63" t="str">
        <x:v>Social proof 40%, Challenge 30%, Creator 20%, Product demo 10%</x:v>
      </x:c>
    </x:row>
    <x:row r="4">
      <x:c r="A4" s="97" t="str">
        <x:v>Competitor angle</x:v>
      </x:c>
      <x:c r="B4" s="75" t="str">
        <x:v>Take the group accountability of Habitica/Strava and make it one daily dare.</x:v>
      </x:c>
      <x:c r="C4" s="101" t="str">
        <x:v>Key Experiment</x:v>
      </x:c>
      <x:c r="D4" s="75" t="str">
        <x:v>Office squad vs college dorm vs gym group vs couple challenge.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34</x:v>
      </x:c>
      <x:c r="C7" s="39" t="n">
        <x:v>900000</x:v>
      </x:c>
      <x:c r="D7" s="39" t="n">
        <x:v>7200</x:v>
      </x:c>
      <x:c r="E7" s="39" t="n">
        <x:v>4100</x:v>
      </x:c>
      <x:c r="F7" s="39" t="n">
        <x:v>1250</x:v>
      </x:c>
      <x:c r="G7" s="39" t="n">
        <x:v>400</x:v>
      </x:c>
      <x:c r="H7" s="102" t="n">
        <x:f>IF(D7=0,"",E7/D7)</x:f>
        <x:v>0.5694444444444444</x:v>
      </x:c>
      <x:c r="I7" s="102" t="n">
        <x:f>IF(D7=0,"",F7/D7)</x:f>
        <x:v>0.1736111111111111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400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Squads, offices, classes and teams: Founder face-cam plus app screen recording.</x:v>
      </x:c>
      <x:c r="E14" s="73" t="str">
        <x:v>Squads, offices, classes and teams. I built an app that makes excuses expensive.</x:v>
      </x:c>
      <x:c r="F14" s="73" t="str">
        <x:v>Start a squad and make one friend accountable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Squads, offices, classes and teams: Pushup challenge prompt with friend tag.</x:v>
      </x:c>
      <x:c r="E15" s="74" t="str">
        <x:v>Squads, offices, classes and teams. Tag the friend who will quit before day 3.</x:v>
      </x:c>
      <x:c r="F15" s="74" t="str">
        <x:v>Start a squad and make one friend accountable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Squads, offices, classes and teams: Proof-card receipt demo.</x:v>
      </x:c>
      <x:c r="E16" s="74" t="str">
        <x:v>Squads, offices, classes and teams. The app only shuts up when the 20 are done.</x:v>
      </x:c>
      <x:c r="F16" s="74" t="str">
        <x:v>Start a squad and make one friend accountable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Squads, offices, classes and teams: Notification/mascot humor skit.</x:v>
      </x:c>
      <x:c r="E17" s="74" t="str">
        <x:v>Squads, offices, classes and teams. POV: Just20 at 9pm.</x:v>
      </x:c>
      <x:c r="F17" s="74" t="str">
        <x:v>Start a squad and make one friend accountable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Squads, offices, classes and teams: Build-in-public result recap.</x:v>
      </x:c>
      <x:c r="E18" s="74" t="str">
        <x:v>Squads, offices, classes and teams. I made strangers do pushups for a week.</x:v>
      </x:c>
      <x:c r="F18" s="74" t="str">
        <x:v>Start a squad and make one friend accountable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Squads, offices, classes and teams: UGC montage / friend duel.</x:v>
      </x:c>
      <x:c r="E19" s="74" t="str">
        <x:v>Squads, offices, classes and teams. Who owes you 20 today?</x:v>
      </x:c>
      <x:c r="F19" s="74" t="str">
        <x:v>Start a squad and make one friend accountable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Squads, offices, classes and teams: Weekly challenge announcement.</x:v>
      </x:c>
      <x:c r="E20" s="75" t="str">
        <x:v>Squads, offices, classes and teams. Tomorrow starts the no-excuses week.</x:v>
      </x:c>
      <x:c r="F20" s="75" t="str">
        <x:v>Start a squad and make one friend accountable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09 - Not a workout app, a daily dare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Not a workout app, a daily dare</x:v>
      </x:c>
      <x:c r="C3" s="100" t="str">
        <x:v>Goal</x:v>
      </x:c>
      <x:c r="D3" s="73" t="str">
        <x:v>Differentiate Just20 from general workout libraries and AI coaches.</x:v>
      </x:c>
      <x:c r="E3" s="100" t="str">
        <x:v>Primary CTA</x:v>
      </x:c>
      <x:c r="F3" s="73" t="str">
        <x:v>Delete choice. Do the 20.</x:v>
      </x:c>
      <x:c r="G3" s="100" t="str">
        <x:v>Phase</x:v>
      </x:c>
      <x:c r="H3" s="73" t="str">
        <x:v>Category Claim</x:v>
      </x:c>
      <x:c r="I3" s="100" t="str">
        <x:v>Pillar Bias</x:v>
      </x:c>
      <x:c r="J3" s="63" t="str">
        <x:v>Positioning 35%, Product demo 25%, Challenge 25%, Humor 15%</x:v>
      </x:c>
    </x:row>
    <x:row r="4">
      <x:c r="A4" s="97" t="str">
        <x:v>Competitor angle</x:v>
      </x:c>
      <x:c r="B4" s="75" t="str">
        <x:v>Use competitors as category contrast, not direct attack.</x:v>
      </x:c>
      <x:c r="C4" s="101" t="str">
        <x:v>Key Experiment</x:v>
      </x:c>
      <x:c r="D4" s="75" t="str">
        <x:v>Conquest angles: 7-minute workouts vs one set, AI coach vs no excuses.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34</x:v>
      </x:c>
      <x:c r="C7" s="39" t="n">
        <x:v>1100000</x:v>
      </x:c>
      <x:c r="D7" s="39" t="n">
        <x:v>9000</x:v>
      </x:c>
      <x:c r="E7" s="39" t="n">
        <x:v>5200</x:v>
      </x:c>
      <x:c r="F7" s="39" t="n">
        <x:v>1550</x:v>
      </x:c>
      <x:c r="G7" s="39" t="n">
        <x:v>450</x:v>
      </x:c>
      <x:c r="H7" s="102" t="n">
        <x:f>IF(D7=0,"",E7/D7)</x:f>
        <x:v>0.5777777777777777</x:v>
      </x:c>
      <x:c r="I7" s="102" t="n">
        <x:f>IF(D7=0,"",F7/D7)</x:f>
        <x:v>0.17222222222222222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450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Not a workout app, a daily dare: Founder face-cam plus app screen recording.</x:v>
      </x:c>
      <x:c r="E14" s="73" t="str">
        <x:v>Not a workout app, a daily dare. I built an app that makes excuses expensive.</x:v>
      </x:c>
      <x:c r="F14" s="73" t="str">
        <x:v>Delete choice. Do the 20.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Not a workout app, a daily dare: Pushup challenge prompt with friend tag.</x:v>
      </x:c>
      <x:c r="E15" s="74" t="str">
        <x:v>Not a workout app, a daily dare. Tag the friend who will quit before day 3.</x:v>
      </x:c>
      <x:c r="F15" s="74" t="str">
        <x:v>Delete choice. Do the 20.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Not a workout app, a daily dare: Proof-card receipt demo.</x:v>
      </x:c>
      <x:c r="E16" s="74" t="str">
        <x:v>Not a workout app, a daily dare. The app only shuts up when the 20 are done.</x:v>
      </x:c>
      <x:c r="F16" s="74" t="str">
        <x:v>Delete choice. Do the 20.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Not a workout app, a daily dare: Notification/mascot humor skit.</x:v>
      </x:c>
      <x:c r="E17" s="74" t="str">
        <x:v>Not a workout app, a daily dare. POV: Just20 at 9pm.</x:v>
      </x:c>
      <x:c r="F17" s="74" t="str">
        <x:v>Delete choice. Do the 20.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Not a workout app, a daily dare: Build-in-public result recap.</x:v>
      </x:c>
      <x:c r="E18" s="74" t="str">
        <x:v>Not a workout app, a daily dare. I made strangers do pushups for a week.</x:v>
      </x:c>
      <x:c r="F18" s="74" t="str">
        <x:v>Delete choice. Do the 20.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Not a workout app, a daily dare: UGC montage / friend duel.</x:v>
      </x:c>
      <x:c r="E19" s="74" t="str">
        <x:v>Not a workout app, a daily dare. Who owes you 20 today?</x:v>
      </x:c>
      <x:c r="F19" s="74" t="str">
        <x:v>Delete choice. Do the 20.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Not a workout app, a daily dare: Weekly challenge announcement.</x:v>
      </x:c>
      <x:c r="E20" s="75" t="str">
        <x:v>Not a workout app, a daily dare. Tomorrow starts the no-excuses week.</x:v>
      </x:c>
      <x:c r="F20" s="75" t="str">
        <x:v>Delete choice. Do the 20.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10 - Sponsor-backed challenge prototype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Sponsor-backed challenge prototype</x:v>
      </x:c>
      <x:c r="C3" s="100" t="str">
        <x:v>Goal</x:v>
      </x:c>
      <x:c r="D3" s="73" t="str">
        <x:v>Validate reward/challenge inventory with local or creator sponsors.</x:v>
      </x:c>
      <x:c r="E3" s="100" t="str">
        <x:v>Primary CTA</x:v>
      </x:c>
      <x:c r="F3" s="73" t="str">
        <x:v>Complete the sponsored 7-day pushup challenge</x:v>
      </x:c>
      <x:c r="G3" s="100" t="str">
        <x:v>Phase</x:v>
      </x:c>
      <x:c r="H3" s="73" t="str">
        <x:v>Sponsor Test</x:v>
      </x:c>
      <x:c r="I3" s="100" t="str">
        <x:v>Pillar Bias</x:v>
      </x:c>
      <x:c r="J3" s="63" t="str">
        <x:v>Sponsored challenge 35%, Social proof 30%, Creator 25%, Product demo 10%</x:v>
      </x:c>
    </x:row>
    <x:row r="4">
      <x:c r="A4" s="97" t="str">
        <x:v>Competitor angle</x:v>
      </x:c>
      <x:c r="B4" s="75" t="str">
        <x:v>Borrow Strava sponsored challenge mechanics but make completion simpler.</x:v>
      </x:c>
      <x:c r="C4" s="101" t="str">
        <x:v>Key Experiment</x:v>
      </x:c>
      <x:c r="D4" s="75" t="str">
        <x:v>Local gym, protein brand, college club and creator bounty offers.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38</x:v>
      </x:c>
      <x:c r="C7" s="39" t="n">
        <x:v>1400000</x:v>
      </x:c>
      <x:c r="D7" s="39" t="n">
        <x:v>12000</x:v>
      </x:c>
      <x:c r="E7" s="39" t="n">
        <x:v>7200</x:v>
      </x:c>
      <x:c r="F7" s="39" t="n">
        <x:v>2200</x:v>
      </x:c>
      <x:c r="G7" s="39" t="n">
        <x:v>550</x:v>
      </x:c>
      <x:c r="H7" s="102" t="n">
        <x:f>IF(D7=0,"",E7/D7)</x:f>
        <x:v>0.6</x:v>
      </x:c>
      <x:c r="I7" s="102" t="n">
        <x:f>IF(D7=0,"",F7/D7)</x:f>
        <x:v>0.18333333333333332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550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5</x:v>
      </x:c>
      <x:c r="D14" s="73" t="str">
        <x:v>Sponsor-backed challenge prototype: Founder face-cam plus app screen recording.</x:v>
      </x:c>
      <x:c r="E14" s="73" t="str">
        <x:v>Sponsor-backed challenge prototype. I built an app that makes excuses expensive.</x:v>
      </x:c>
      <x:c r="F14" s="73" t="str">
        <x:v>Complete the sponsored 7-day pushup challenge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5</x:v>
      </x:c>
      <x:c r="D15" s="74" t="str">
        <x:v>Sponsor-backed challenge prototype: Pushup challenge prompt with friend tag.</x:v>
      </x:c>
      <x:c r="E15" s="74" t="str">
        <x:v>Sponsor-backed challenge prototype. Tag the friend who will quit before day 3.</x:v>
      </x:c>
      <x:c r="F15" s="74" t="str">
        <x:v>Complete the sponsored 7-day pushup challenge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5</x:v>
      </x:c>
      <x:c r="D16" s="74" t="str">
        <x:v>Sponsor-backed challenge prototype: Proof-card receipt demo.</x:v>
      </x:c>
      <x:c r="E16" s="74" t="str">
        <x:v>Sponsor-backed challenge prototype. The app only shuts up when the 20 are done.</x:v>
      </x:c>
      <x:c r="F16" s="74" t="str">
        <x:v>Complete the sponsored 7-day pushup challenge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5</x:v>
      </x:c>
      <x:c r="D17" s="74" t="str">
        <x:v>Sponsor-backed challenge prototype: Notification/mascot humor skit.</x:v>
      </x:c>
      <x:c r="E17" s="74" t="str">
        <x:v>Sponsor-backed challenge prototype. POV: Just20 at 9pm.</x:v>
      </x:c>
      <x:c r="F17" s="74" t="str">
        <x:v>Complete the sponsored 7-day pushup challenge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5</x:v>
      </x:c>
      <x:c r="D18" s="74" t="str">
        <x:v>Sponsor-backed challenge prototype: Build-in-public result recap.</x:v>
      </x:c>
      <x:c r="E18" s="74" t="str">
        <x:v>Sponsor-backed challenge prototype. I made strangers do pushups for a week.</x:v>
      </x:c>
      <x:c r="F18" s="74" t="str">
        <x:v>Complete the sponsored 7-day pushup challenge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5</x:v>
      </x:c>
      <x:c r="D19" s="74" t="str">
        <x:v>Sponsor-backed challenge prototype: UGC montage / friend duel.</x:v>
      </x:c>
      <x:c r="E19" s="74" t="str">
        <x:v>Sponsor-backed challenge prototype. Who owes you 20 today?</x:v>
      </x:c>
      <x:c r="F19" s="74" t="str">
        <x:v>Complete the sponsored 7-day pushup challenge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5</x:v>
      </x:c>
      <x:c r="D20" s="75" t="str">
        <x:v>Sponsor-backed challenge prototype: Weekly challenge announcement.</x:v>
      </x:c>
      <x:c r="E20" s="75" t="str">
        <x:v>Sponsor-backed challenge prototype. Tomorrow starts the no-excuses week.</x:v>
      </x:c>
      <x:c r="F20" s="75" t="str">
        <x:v>Complete the sponsored 7-day pushup challenge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11 - Popular, Evangelist and squad invite badges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Popular, Evangelist and squad invite badges</x:v>
      </x:c>
      <x:c r="C3" s="100" t="str">
        <x:v>Goal</x:v>
      </x:c>
      <x:c r="D3" s="73" t="str">
        <x:v>Make users bring friends for status, badges and visible identity.</x:v>
      </x:c>
      <x:c r="E3" s="100" t="str">
        <x:v>Primary CTA</x:v>
      </x:c>
      <x:c r="F3" s="73" t="str">
        <x:v>Invite 3 friends before Sunday</x:v>
      </x:c>
      <x:c r="G3" s="100" t="str">
        <x:v>Phase</x:v>
      </x:c>
      <x:c r="H3" s="73" t="str">
        <x:v>Referral Sprint</x:v>
      </x:c>
      <x:c r="I3" s="100" t="str">
        <x:v>Pillar Bias</x:v>
      </x:c>
      <x:c r="J3" s="63" t="str">
        <x:v>Referral 40%, Social proof 30%, Rewards 20%, Humor 10%</x:v>
      </x:c>
    </x:row>
    <x:row r="4">
      <x:c r="A4" s="97" t="str">
        <x:v>Competitor angle</x:v>
      </x:c>
      <x:c r="B4" s="75" t="str">
        <x:v>Borrow Zwift-style social badges and Duolingo-style friend pressure.</x:v>
      </x:c>
      <x:c r="C4" s="101" t="str">
        <x:v>Key Experiment</x:v>
      </x:c>
      <x:c r="D4" s="75" t="str">
        <x:v>Badge-driven referral copy vs squad challenge copy vs leaderboard copy.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42</x:v>
      </x:c>
      <x:c r="C7" s="39" t="n">
        <x:v>1800000</x:v>
      </x:c>
      <x:c r="D7" s="39" t="n">
        <x:v>17000</x:v>
      </x:c>
      <x:c r="E7" s="39" t="n">
        <x:v>10500</x:v>
      </x:c>
      <x:c r="F7" s="39" t="n">
        <x:v>3400</x:v>
      </x:c>
      <x:c r="G7" s="39" t="n">
        <x:v>650</x:v>
      </x:c>
      <x:c r="H7" s="102" t="n">
        <x:f>IF(D7=0,"",E7/D7)</x:f>
        <x:v>0.6176470588235294</x:v>
      </x:c>
      <x:c r="I7" s="102" t="n">
        <x:f>IF(D7=0,"",F7/D7)</x:f>
        <x:v>0.2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650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6</x:v>
      </x:c>
      <x:c r="D14" s="73" t="str">
        <x:v>Popular, Evangelist and squad invite badges: Founder face-cam plus app screen recording.</x:v>
      </x:c>
      <x:c r="E14" s="73" t="str">
        <x:v>Popular, Evangelist and squad invite badges. I built an app that makes excuses expensive.</x:v>
      </x:c>
      <x:c r="F14" s="73" t="str">
        <x:v>Invite 3 friends before Sunday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6</x:v>
      </x:c>
      <x:c r="D15" s="74" t="str">
        <x:v>Popular, Evangelist and squad invite badges: Pushup challenge prompt with friend tag.</x:v>
      </x:c>
      <x:c r="E15" s="74" t="str">
        <x:v>Popular, Evangelist and squad invite badges. Tag the friend who will quit before day 3.</x:v>
      </x:c>
      <x:c r="F15" s="74" t="str">
        <x:v>Invite 3 friends before Sunday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6</x:v>
      </x:c>
      <x:c r="D16" s="74" t="str">
        <x:v>Popular, Evangelist and squad invite badges: Proof-card receipt demo.</x:v>
      </x:c>
      <x:c r="E16" s="74" t="str">
        <x:v>Popular, Evangelist and squad invite badges. The app only shuts up when the 20 are done.</x:v>
      </x:c>
      <x:c r="F16" s="74" t="str">
        <x:v>Invite 3 friends before Sunday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6</x:v>
      </x:c>
      <x:c r="D17" s="74" t="str">
        <x:v>Popular, Evangelist and squad invite badges: Notification/mascot humor skit.</x:v>
      </x:c>
      <x:c r="E17" s="74" t="str">
        <x:v>Popular, Evangelist and squad invite badges. POV: Just20 at 9pm.</x:v>
      </x:c>
      <x:c r="F17" s="74" t="str">
        <x:v>Invite 3 friends before Sunday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6</x:v>
      </x:c>
      <x:c r="D18" s="74" t="str">
        <x:v>Popular, Evangelist and squad invite badges: Build-in-public result recap.</x:v>
      </x:c>
      <x:c r="E18" s="74" t="str">
        <x:v>Popular, Evangelist and squad invite badges. I made strangers do pushups for a week.</x:v>
      </x:c>
      <x:c r="F18" s="74" t="str">
        <x:v>Invite 3 friends before Sunday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6</x:v>
      </x:c>
      <x:c r="D19" s="74" t="str">
        <x:v>Popular, Evangelist and squad invite badges: UGC montage / friend duel.</x:v>
      </x:c>
      <x:c r="E19" s="74" t="str">
        <x:v>Popular, Evangelist and squad invite badges. Who owes you 20 today?</x:v>
      </x:c>
      <x:c r="F19" s="74" t="str">
        <x:v>Invite 3 friends before Sunday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6</x:v>
      </x:c>
      <x:c r="D20" s="75" t="str">
        <x:v>Popular, Evangelist and squad invite badges: Weekly challenge announcement.</x:v>
      </x:c>
      <x:c r="E20" s="75" t="str">
        <x:v>Popular, Evangelist and squad invite badges. Tomorrow starts the no-excuses week.</x:v>
      </x:c>
      <x:c r="F20" s="75" t="str">
        <x:v>Invite 3 friends before Sunday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20.25" hidden="0" customWidth="1"/>
    <x:col min="3" max="3" width="9.199999809265137" hidden="0" customWidth="1"/>
    <x:col min="4" max="4" width="33.7400016784668" hidden="0" customWidth="1"/>
    <x:col min="5" max="5" width="28.829999923706055" hidden="0" customWidth="1"/>
    <x:col min="6" max="6" width="20.25" hidden="0" customWidth="1"/>
    <x:col min="7" max="7" width="27.610000610351562" hidden="0" customWidth="1"/>
    <x:col min="8" max="8" width="17.790000915527344" hidden="0" customWidth="1"/>
    <x:col min="9" max="9" width="10.430000305175781" hidden="0" customWidth="1"/>
    <x:col min="10" max="10" width="11.039999961853027" hidden="0" customWidth="1"/>
  </x:cols>
  <x:sheetData>
    <x:row r="1" ht="31.5" customHeight="1">
      <x:c r="A1" s="8" t="str">
        <x:v>Week 12 - Paid amplification of organic winners</x:v>
      </x:c>
      <x:c r="B1" s="9" t="str"/>
      <x:c r="C1" s="9" t="str"/>
      <x:c r="D1" s="9" t="str"/>
      <x:c r="E1" s="9" t="str"/>
      <x:c r="F1" s="9" t="str"/>
      <x:c r="G1" s="9" t="str"/>
      <x:c r="H1" s="9" t="str"/>
      <x:c r="I1" s="9" t="str"/>
      <x:c r="J1" s="10" t="str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3">
      <x:c r="A3" s="96" t="str">
        <x:v>Theme</x:v>
      </x:c>
      <x:c r="B3" s="73" t="str">
        <x:v>Paid amplification of organic winners</x:v>
      </x:c>
      <x:c r="C3" s="100" t="str">
        <x:v>Goal</x:v>
      </x:c>
      <x:c r="D3" s="73" t="str">
        <x:v>Scale winners with Spark/Reels/Shorts-ready creative while keeping organic cadence high.</x:v>
      </x:c>
      <x:c r="E3" s="100" t="str">
        <x:v>Primary CTA</x:v>
      </x:c>
      <x:c r="F3" s="73" t="str">
        <x:v>Download today and protect Day 1</x:v>
      </x:c>
      <x:c r="G3" s="100" t="str">
        <x:v>Phase</x:v>
      </x:c>
      <x:c r="H3" s="73" t="str">
        <x:v>Breakout Push</x:v>
      </x:c>
      <x:c r="I3" s="100" t="str">
        <x:v>Pillar Bias</x:v>
      </x:c>
      <x:c r="J3" s="63" t="str">
        <x:v>Winners only: 35% challenge, 25% proof, 20% creator, 20% rewards/social.</x:v>
      </x:c>
    </x:row>
    <x:row r="4">
      <x:c r="A4" s="97" t="str">
        <x:v>Competitor angle</x:v>
      </x:c>
      <x:c r="B4" s="75" t="str">
        <x:v>Use BetterMe-level funnel discipline with a cleaner, funnier product loop.</x:v>
      </x:c>
      <x:c r="C4" s="101" t="str">
        <x:v>Key Experiment</x:v>
      </x:c>
      <x:c r="D4" s="75" t="str">
        <x:v>Amplify top 5 hooks; cut losers; convert best UGC into ads with permission.</x:v>
      </x:c>
      <x:c r="E4" s="101" t="str">
        <x:v>Owner</x:v>
      </x:c>
      <x:c r="F4" s="75" t="str">
        <x:v>Founder/Growth Lead</x:v>
      </x:c>
      <x:c r="G4" s="101" t="str">
        <x:v>Status</x:v>
      </x:c>
      <x:c r="H4" s="75" t="str">
        <x:v>Planned</x:v>
      </x:c>
      <x:c r="I4" s="101" t="str">
        <x:v>Decision Day</x:v>
      </x:c>
      <x:c r="J4" s="67" t="str">
        <x:v>Sunday</x:v>
      </x:c>
    </x:row>
    <x:row r="6" ht="22.5" customHeight="1">
      <x:c r="A6" s="25" t="str">
        <x:v>KPI</x:v>
      </x:c>
      <x:c r="B6" s="26" t="str">
        <x:v>Target Posts</x:v>
      </x:c>
      <x:c r="C6" s="26" t="str">
        <x:v>Target Views</x:v>
      </x:c>
      <x:c r="D6" s="26" t="str">
        <x:v>Target Installs</x:v>
      </x:c>
      <x:c r="E6" s="26" t="str">
        <x:v>Activated Users</x:v>
      </x:c>
      <x:c r="F6" s="26" t="str">
        <x:v>Shares/UGC</x:v>
      </x:c>
      <x:c r="G6" s="26" t="str">
        <x:v>Creator DMs</x:v>
      </x:c>
      <x:c r="H6" s="26" t="str">
        <x:v>Install -&gt; Activation</x:v>
      </x:c>
      <x:c r="I6" s="26" t="str">
        <x:v>UGC / Install</x:v>
      </x:c>
      <x:c r="J6" s="27" t="str">
        <x:v>Notes</x:v>
      </x:c>
    </x:row>
    <x:row r="7">
      <x:c r="A7" s="36" t="str">
        <x:v>Weekly target</x:v>
      </x:c>
      <x:c r="B7" s="39" t="n">
        <x:v>50</x:v>
      </x:c>
      <x:c r="C7" s="39" t="n">
        <x:v>2500000</x:v>
      </x:c>
      <x:c r="D7" s="39" t="n">
        <x:v>26000</x:v>
      </x:c>
      <x:c r="E7" s="39" t="n">
        <x:v>16500</x:v>
      </x:c>
      <x:c r="F7" s="39" t="n">
        <x:v>5200</x:v>
      </x:c>
      <x:c r="G7" s="39" t="n">
        <x:v>800</x:v>
      </x:c>
      <x:c r="H7" s="102" t="n">
        <x:f>IF(D7=0,"",E7/D7)</x:f>
        <x:v>0.6346153846153846</x:v>
      </x:c>
      <x:c r="I7" s="102" t="n">
        <x:f>IF(D7=0,"",F7/D7)</x:f>
        <x:v>0.2</x:v>
      </x:c>
      <x:c r="J7" s="38" t="str">
        <x:v>Use actuals in a copied version of this row after launch.</x:v>
      </x:c>
    </x:row>
    <x:row r="10" ht="21" customHeight="1">
      <x:c r="A10" s="111" t="str">
        <x:v>Creator DMs Target</x:v>
      </x:c>
      <x:c r="B10" s="112" t="n">
        <x:v>800</x:v>
      </x:c>
      <x:c r="C10" s="112" t="str">
        <x:v>Primary creator segments</x:v>
      </x:c>
      <x:c r="D10" s="112" t="str">
        <x:v>Micro fitness, campus/lifestyle, comedy challenge, productivity, local gym/community</x:v>
      </x:c>
      <x:c r="E10" s="112" t="str">
        <x:v>Winner rule</x:v>
      </x:c>
      <x:c r="F10" s="112" t="str">
        <x:v>Keep hooks with &gt;70% 3-sec hold or &gt;1.5x median install CTR.</x:v>
      </x:c>
      <x:c r="G10" s="112"/>
      <x:c r="H10" s="112"/>
      <x:c r="I10" s="112"/>
      <x:c r="J10" s="113"/>
    </x:row>
    <x:row r="11" ht="21" customHeight="1">
      <x:c r="A11" s="114" t="str">
        <x:v>Content Rule</x:v>
      </x:c>
      <x:c r="B11" s="115" t="str">
        <x:v>Every post needs one visible app moment or one visible pushup moment.</x:v>
      </x:c>
      <x:c r="C11" s="115" t="str">
        <x:v>CTA Rule</x:v>
      </x:c>
      <x:c r="D11" s="115" t="str">
        <x:v>Ask for exactly one action: download, tag, post receipt, or join challenge.</x:v>
      </x:c>
      <x:c r="E11" s="115" t="str">
        <x:v>Cut Rule</x:v>
      </x:c>
      <x:c r="F11" s="115" t="str">
        <x:v>If a format misses median retention twice, replace the hook, not the whole thesis.</x:v>
      </x:c>
      <x:c r="G11" s="115"/>
      <x:c r="H11" s="115"/>
      <x:c r="I11" s="115"/>
      <x:c r="J11" s="116"/>
    </x:row>
    <x:row r="13" ht="22.5" customHeight="1">
      <x:c r="A13" s="48" t="str">
        <x:v>Day</x:v>
      </x:c>
      <x:c r="B13" s="120" t="str">
        <x:v>Channel Priority</x:v>
      </x:c>
      <x:c r="C13" s="120" t="str">
        <x:v>Posts</x:v>
      </x:c>
      <x:c r="D13" s="120" t="str">
        <x:v>Main Content</x:v>
      </x:c>
      <x:c r="E13" s="120" t="str">
        <x:v>Hook Angle</x:v>
      </x:c>
      <x:c r="F13" s="120" t="str">
        <x:v>CTA</x:v>
      </x:c>
      <x:c r="G13" s="120" t="str">
        <x:v>Recycle / Production Notes</x:v>
      </x:c>
      <x:c r="H13" s="120" t="str">
        <x:v>Success Metric</x:v>
      </x:c>
      <x:c r="I13" s="120" t="str">
        <x:v>Owner</x:v>
      </x:c>
      <x:c r="J13" s="49" t="str">
        <x:v>Status</x:v>
      </x:c>
    </x:row>
    <x:row r="14">
      <x:c r="A14" s="62" t="str">
        <x:v>Mon</x:v>
      </x:c>
      <x:c r="B14" s="73" t="str">
        <x:v>TikTok + Reels + Shorts</x:v>
      </x:c>
      <x:c r="C14" s="79" t="n">
        <x:v>7</x:v>
      </x:c>
      <x:c r="D14" s="73" t="str">
        <x:v>Paid amplification of organic winners: Founder face-cam plus app screen recording.</x:v>
      </x:c>
      <x:c r="E14" s="73" t="str">
        <x:v>Paid amplification of organic winners. I built an app that makes excuses expensive.</x:v>
      </x:c>
      <x:c r="F14" s="73" t="str">
        <x:v>Download today and protect Day 1</x:v>
      </x:c>
      <x:c r="G14" s="73" t="str">
        <x:v>Cut TikTok natively first, export clean 9:16 no watermark.</x:v>
      </x:c>
      <x:c r="H14" s="73" t="str">
        <x:v>Installs + activation</x:v>
      </x:c>
      <x:c r="I14" s="73" t="str">
        <x:v>Founder</x:v>
      </x:c>
      <x:c r="J14" s="63" t="str">
        <x:v>Planned</x:v>
      </x:c>
    </x:row>
    <x:row r="15">
      <x:c r="A15" s="64" t="str">
        <x:v>Tue</x:v>
      </x:c>
      <x:c r="B15" s="74" t="str">
        <x:v>TikTok + Reels</x:v>
      </x:c>
      <x:c r="C15" s="80" t="n">
        <x:v>7</x:v>
      </x:c>
      <x:c r="D15" s="74" t="str">
        <x:v>Paid amplification of organic winners: Pushup challenge prompt with friend tag.</x:v>
      </x:c>
      <x:c r="E15" s="74" t="str">
        <x:v>Paid amplification of organic winners. Tag the friend who will quit before day 3.</x:v>
      </x:c>
      <x:c r="F15" s="74" t="str">
        <x:v>Download today and protect Day 1</x:v>
      </x:c>
      <x:c r="G15" s="74" t="str">
        <x:v>Use the same script with 2 hooks and 2 endings.</x:v>
      </x:c>
      <x:c r="H15" s="74" t="str">
        <x:v>Installs + activation</x:v>
      </x:c>
      <x:c r="I15" s="74" t="str">
        <x:v>Founder</x:v>
      </x:c>
      <x:c r="J15" s="65" t="str">
        <x:v>Planned</x:v>
      </x:c>
    </x:row>
    <x:row r="16">
      <x:c r="A16" s="64" t="str">
        <x:v>Wed</x:v>
      </x:c>
      <x:c r="B16" s="74" t="str">
        <x:v>Shorts + TikTok</x:v>
      </x:c>
      <x:c r="C16" s="80" t="n">
        <x:v>7</x:v>
      </x:c>
      <x:c r="D16" s="74" t="str">
        <x:v>Paid amplification of organic winners: Proof-card receipt demo.</x:v>
      </x:c>
      <x:c r="E16" s="74" t="str">
        <x:v>Paid amplification of organic winners. The app only shuts up when the 20 are done.</x:v>
      </x:c>
      <x:c r="F16" s="74" t="str">
        <x:v>Download today and protect Day 1</x:v>
      </x:c>
      <x:c r="G16" s="74" t="str">
        <x:v>Keep the receipt visible in the first second.</x:v>
      </x:c>
      <x:c r="H16" s="74" t="str">
        <x:v>Installs + activation</x:v>
      </x:c>
      <x:c r="I16" s="74" t="str">
        <x:v>Founder</x:v>
      </x:c>
      <x:c r="J16" s="65" t="str">
        <x:v>Planned</x:v>
      </x:c>
    </x:row>
    <x:row r="17">
      <x:c r="A17" s="64" t="str">
        <x:v>Thu</x:v>
      </x:c>
      <x:c r="B17" s="74" t="str">
        <x:v>Reels Stories + TikTok</x:v>
      </x:c>
      <x:c r="C17" s="80" t="n">
        <x:v>7</x:v>
      </x:c>
      <x:c r="D17" s="74" t="str">
        <x:v>Paid amplification of organic winners: Notification/mascot humor skit.</x:v>
      </x:c>
      <x:c r="E17" s="74" t="str">
        <x:v>Paid amplification of organic winners. POV: Just20 at 9pm.</x:v>
      </x:c>
      <x:c r="F17" s="74" t="str">
        <x:v>Download today and protect Day 1</x:v>
      </x:c>
      <x:c r="G17" s="74" t="str">
        <x:v>Make one lo-fi version and one polished overlay version.</x:v>
      </x:c>
      <x:c r="H17" s="74" t="str">
        <x:v>Shares + comments</x:v>
      </x:c>
      <x:c r="I17" s="74" t="str">
        <x:v>Founder</x:v>
      </x:c>
      <x:c r="J17" s="65" t="str">
        <x:v>Planned</x:v>
      </x:c>
    </x:row>
    <x:row r="18">
      <x:c r="A18" s="64" t="str">
        <x:v>Fri</x:v>
      </x:c>
      <x:c r="B18" s="74" t="str">
        <x:v>TikTok + Shorts + Reddit</x:v>
      </x:c>
      <x:c r="C18" s="80" t="n">
        <x:v>7</x:v>
      </x:c>
      <x:c r="D18" s="74" t="str">
        <x:v>Paid amplification of organic winners: Build-in-public result recap.</x:v>
      </x:c>
      <x:c r="E18" s="74" t="str">
        <x:v>Paid amplification of organic winners. I made strangers do pushups for a week.</x:v>
      </x:c>
      <x:c r="F18" s="74" t="str">
        <x:v>Download today and protect Day 1</x:v>
      </x:c>
      <x:c r="G18" s="74" t="str">
        <x:v>Post community version without hard selling.</x:v>
      </x:c>
      <x:c r="H18" s="74" t="str">
        <x:v>Shares + comments</x:v>
      </x:c>
      <x:c r="I18" s="74" t="str">
        <x:v>Founder</x:v>
      </x:c>
      <x:c r="J18" s="65" t="str">
        <x:v>Planned</x:v>
      </x:c>
    </x:row>
    <x:row r="19">
      <x:c r="A19" s="64" t="str">
        <x:v>Sat</x:v>
      </x:c>
      <x:c r="B19" s="74" t="str">
        <x:v>Reels + Snapchat Spotlight</x:v>
      </x:c>
      <x:c r="C19" s="80" t="n">
        <x:v>7</x:v>
      </x:c>
      <x:c r="D19" s="74" t="str">
        <x:v>Paid amplification of organic winners: UGC montage / friend duel.</x:v>
      </x:c>
      <x:c r="E19" s="74" t="str">
        <x:v>Paid amplification of organic winners. Who owes you 20 today?</x:v>
      </x:c>
      <x:c r="F19" s="74" t="str">
        <x:v>Download today and protect Day 1</x:v>
      </x:c>
      <x:c r="G19" s="74" t="str">
        <x:v>Use safe, positive copy for Spotlight.</x:v>
      </x:c>
      <x:c r="H19" s="74" t="str">
        <x:v>UGC + challenge joins</x:v>
      </x:c>
      <x:c r="I19" s="74" t="str">
        <x:v>Founder</x:v>
      </x:c>
      <x:c r="J19" s="65" t="str">
        <x:v>Planned</x:v>
      </x:c>
    </x:row>
    <x:row r="20">
      <x:c r="A20" s="66" t="str">
        <x:v>Sun</x:v>
      </x:c>
      <x:c r="B20" s="75" t="str">
        <x:v>All short-form + email/community</x:v>
      </x:c>
      <x:c r="C20" s="81" t="n">
        <x:v>7</x:v>
      </x:c>
      <x:c r="D20" s="75" t="str">
        <x:v>Paid amplification of organic winners: Weekly challenge announcement.</x:v>
      </x:c>
      <x:c r="E20" s="75" t="str">
        <x:v>Paid amplification of organic winners. Tomorrow starts the no-excuses week.</x:v>
      </x:c>
      <x:c r="F20" s="75" t="str">
        <x:v>Download today and protect Day 1</x:v>
      </x:c>
      <x:c r="G20" s="75" t="str">
        <x:v>Pin best comments; seed creator DMs.</x:v>
      </x:c>
      <x:c r="H20" s="75" t="str">
        <x:v>UGC + challenge joins</x:v>
      </x:c>
      <x:c r="I20" s="75" t="str">
        <x:v>Founder</x:v>
      </x:c>
      <x:c r="J20" s="67" t="str">
        <x:v>Planned</x:v>
      </x:c>
    </x:row>
    <x:row r="23" ht="22.5" customHeight="1">
      <x:c r="A23" s="25" t="str">
        <x:v>Test</x:v>
      </x:c>
      <x:c r="B23" s="26" t="str">
        <x:v>Variant A</x:v>
      </x:c>
      <x:c r="C23" s="26" t="str">
        <x:v>Variant B</x:v>
      </x:c>
      <x:c r="D23" s="26" t="str">
        <x:v>Variant C</x:v>
      </x:c>
      <x:c r="E23" s="26" t="str">
        <x:v>Primary Metric</x:v>
      </x:c>
      <x:c r="F23" s="27" t="str">
        <x:v>Decision Rule</x:v>
      </x:c>
    </x:row>
    <x:row r="24">
      <x:c r="A24" s="62" t="str">
        <x:v>Hook</x:v>
      </x:c>
      <x:c r="B24" s="73" t="str">
        <x:v>I built an app that annoys me.</x:v>
      </x:c>
      <x:c r="C24" s="73" t="str">
        <x:v>20 pushups. No negotiation.</x:v>
      </x:c>
      <x:c r="D24" s="73" t="str">
        <x:v>The app knows when I cheat.</x:v>
      </x:c>
      <x:c r="E24" s="73" t="str">
        <x:v>3-sec hold + avg % viewed</x:v>
      </x:c>
      <x:c r="F24" s="63" t="str">
        <x:v>Winner gets 3 more cuts within 24 hours.</x:v>
      </x:c>
    </x:row>
    <x:row r="25">
      <x:c r="A25" s="64" t="str">
        <x:v>CTA</x:v>
      </x:c>
      <x:c r="B25" s="74" t="str">
        <x:v>Download today.</x:v>
      </x:c>
      <x:c r="C25" s="74" t="str">
        <x:v>Tag a friend.</x:v>
      </x:c>
      <x:c r="D25" s="74" t="str">
        <x:v>Post your receipt.</x:v>
      </x:c>
      <x:c r="E25" s="74" t="str">
        <x:v>Install CTR + share rate</x:v>
      </x:c>
      <x:c r="F25" s="65" t="str">
        <x:v>Use platform-specific winner; do not force one CTA everywhere.</x:v>
      </x:c>
    </x:row>
    <x:row r="26">
      <x:c r="A26" s="64" t="str">
        <x:v>Creative Style</x:v>
      </x:c>
      <x:c r="B26" s="74" t="str">
        <x:v>Lo-fi founder</x:v>
      </x:c>
      <x:c r="C26" s="74" t="str">
        <x:v>UGC receipt montage</x:v>
      </x:c>
      <x:c r="D26" s="74" t="str">
        <x:v>Screen recording + overlay</x:v>
      </x:c>
      <x:c r="E26" s="74" t="str">
        <x:v>Completion rate + comments</x:v>
      </x:c>
      <x:c r="F26" s="65" t="str">
        <x:v>Keep at least one lo-fi asset live each week.</x:v>
      </x:c>
    </x:row>
    <x:row r="27">
      <x:c r="A27" s="66" t="str">
        <x:v>Audience</x:v>
      </x:c>
      <x:c r="B27" s="75" t="str">
        <x:v>Fitness beginner</x:v>
      </x:c>
      <x:c r="C27" s="75" t="str">
        <x:v>Friend groups</x:v>
      </x:c>
      <x:c r="D27" s="75" t="str">
        <x:v>Self-improvement/productivity</x:v>
      </x:c>
      <x:c r="E27" s="75" t="str">
        <x:v>Activated users per 1k views</x:v>
      </x:c>
      <x:c r="F27" s="67" t="str">
        <x:v>Shift creator outreach toward winning segment.</x:v>
      </x:c>
    </x:row>
    <x:row r="30" ht="22.5" customHeight="1">
      <x:c r="A30" s="48" t="str">
        <x:v>Distribution Checklist</x:v>
      </x:c>
      <x:c r="B30" s="120" t="str">
        <x:v>Execution Detail</x:v>
      </x:c>
      <x:c r="C30" s="49" t="str">
        <x:v>Done?</x:v>
      </x:c>
      <x:c r="E30" s="25" t="str">
        <x:v>End-of-Week Decision Log</x:v>
      </x:c>
      <x:c r="F30" s="27" t="str">
        <x:v>Use this before moving to next week</x:v>
      </x:c>
    </x:row>
    <x:row r="31">
      <x:c r="A31" s="62" t="str">
        <x:v>TikTok</x:v>
      </x:c>
      <x:c r="B31" s="73" t="str">
        <x:v>Native upload, sound on, hook visible in first 1-3 seconds, caption burns in context.</x:v>
      </x:c>
      <x:c r="C31" s="63" t="str">
        <x:v>No</x:v>
      </x:c>
      <x:c r="E31" s="62" t="str">
        <x:v>Winning hook</x:v>
      </x:c>
      <x:c r="F31" s="63" t="str"/>
    </x:row>
    <x:row r="32">
      <x:c r="A32" s="64" t="str">
        <x:v>Instagram Reels</x:v>
      </x:c>
      <x:c r="B32" s="74" t="str">
        <x:v>Clean 9:16 export, safe-zone text, Story repost prompt, pin install/comment CTA.</x:v>
      </x:c>
      <x:c r="C32" s="65" t="str">
        <x:v>No</x:v>
      </x:c>
      <x:c r="E32" s="64" t="str">
        <x:v>Worst hook to cut</x:v>
      </x:c>
      <x:c r="F32" s="65" t="str"/>
    </x:row>
    <x:row r="33">
      <x:c r="A33" s="64" t="str">
        <x:v>YouTube Shorts</x:v>
      </x:c>
      <x:c r="B33" s="74" t="str">
        <x:v>Clean title, no watermark, compare engaged views and average percent viewed.</x:v>
      </x:c>
      <x:c r="C33" s="65" t="str">
        <x:v>No</x:v>
      </x:c>
      <x:c r="E33" s="64" t="str">
        <x:v>Best platform by activated users</x:v>
      </x:c>
      <x:c r="F33" s="65" t="str"/>
    </x:row>
    <x:row r="34">
      <x:c r="A34" s="64" t="str">
        <x:v>Snapchat Spotlight</x:v>
      </x:c>
      <x:c r="B34" s="74" t="str">
        <x:v>Positive/safe challenge framing, no shame-based copy, no risky stunts.</x:v>
      </x:c>
      <x:c r="C34" s="65" t="str">
        <x:v>No</x:v>
      </x:c>
      <x:c r="E34" s="64" t="str">
        <x:v>Best creator segment</x:v>
      </x:c>
      <x:c r="F34" s="65" t="str"/>
    </x:row>
    <x:row r="35">
      <x:c r="A35" s="64" t="str">
        <x:v>Communities</x:v>
      </x:c>
      <x:c r="B35" s="74" t="str">
        <x:v>Build story or tester ask; no drive-by link spam.</x:v>
      </x:c>
      <x:c r="C35" s="65" t="str">
        <x:v>No</x:v>
      </x:c>
      <x:c r="E35" s="64" t="str">
        <x:v>Product friction observed</x:v>
      </x:c>
      <x:c r="F35" s="65" t="str"/>
    </x:row>
    <x:row r="36">
      <x:c r="A36" s="66" t="str">
        <x:v>Creator DMs</x:v>
      </x:c>
      <x:c r="B36" s="75" t="str">
        <x:v>Offer custom code, featured challenge, free Pro later, and a concrete 7-day prompt.</x:v>
      </x:c>
      <x:c r="C36" s="67" t="str">
        <x:v>No</x:v>
      </x:c>
      <x:c r="E36" s="66" t="str">
        <x:v>Next-week adjustment</x:v>
      </x:c>
      <x:c r="F36" s="67" t="str"/>
    </x:row>
  </x:sheetData>
  <x:dataValidations count="2">
    <x:dataValidation type="list" allowBlank="1" showDropDown="0" sqref="J14:J20">
      <x:formula1>"Planned,In Progress,Posted,Measured,Cut"</x:formula1>
    </x:dataValidation>
    <x:dataValidation type="list" allowBlank="0" showDropDown="0" sqref="C31:C36">
      <x:formula1>"No,In Progress,Yes"</x:formula1>
    </x:dataValidation>
  </x:dataValidations>
  <x:pageMargins left="0.7" right="0.7" top="0.75" bottom="0.75" header="0.3" footer="0.3"/>
</x:worksheet>
</file>